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8604" yWindow="0" windowWidth="20772" windowHeight="12336" tabRatio="748" firstSheet="0" activeTab="1" autoFilterDateGrouping="1"/>
  </bookViews>
  <sheets>
    <sheet name="報告書（現）" sheetId="1" state="visible" r:id="rId1"/>
    <sheet name="報告書（新）" sheetId="2" state="visible" r:id="rId2"/>
    <sheet name="AI診断" sheetId="3" state="visible" r:id="rId3"/>
  </sheets>
  <definedNames>
    <definedName name="経営談義資料" localSheetId="0">'報告書（現）'!$A$3:$X$38</definedName>
    <definedName name="報告書" localSheetId="0">'報告書（現）'!$A$3:$X$55</definedName>
    <definedName name="経営談義資料" localSheetId="1">'報告書（新）'!$A$3:$X$38</definedName>
    <definedName name="報告書" localSheetId="1">'報告書（新）'!$A$3:$X$55</definedName>
  </definedNames>
  <calcPr calcId="191028" fullCalcOnLoad="1" iterateDelta="0.0001"/>
</workbook>
</file>

<file path=xl/styles.xml><?xml version="1.0" encoding="utf-8"?>
<styleSheet xmlns="http://schemas.openxmlformats.org/spreadsheetml/2006/main">
  <numFmts count="6">
    <numFmt numFmtId="164" formatCode="#,##0;&quot;▲ &quot;#,##0"/>
    <numFmt numFmtId="165" formatCode="0.0%"/>
    <numFmt numFmtId="166" formatCode="#,##0.0;&quot;▲ &quot;#,##0.0"/>
    <numFmt numFmtId="167" formatCode="0.0;&quot;▲ &quot;0.0"/>
    <numFmt numFmtId="168" formatCode="yyyy&quot;年&quot;m&quot;月&quot;d&quot;日&quot;;@"/>
    <numFmt numFmtId="169" formatCode="[$-411]ge\.m\.d;@"/>
  </numFmts>
  <fonts count="26">
    <font>
      <name val="ＭＳ Ｐゴシック"/>
      <charset val="128"/>
      <family val="2"/>
      <color theme="1"/>
      <sz val="12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1"/>
      <scheme val="minor"/>
    </font>
    <font>
      <name val="ＭＳ Ｐゴシック"/>
      <charset val="128"/>
      <family val="2"/>
      <color theme="1"/>
      <sz val="12"/>
    </font>
    <font>
      <name val="ＭＳ Ｐゴシック"/>
      <charset val="128"/>
      <family val="2"/>
      <sz val="6"/>
    </font>
    <font>
      <name val="ＭＳ Ｐゴシック"/>
      <charset val="128"/>
      <family val="3"/>
      <b val="1"/>
      <color theme="1"/>
      <sz val="12"/>
    </font>
    <font>
      <name val="ＭＳ Ｐゴシック"/>
      <charset val="128"/>
      <family val="3"/>
      <b val="1"/>
      <color theme="1"/>
      <sz val="22"/>
    </font>
    <font>
      <name val="ＭＳ Ｐゴシック"/>
      <charset val="128"/>
      <family val="3"/>
      <b val="1"/>
      <color theme="1"/>
      <sz val="10"/>
    </font>
    <font>
      <name val="ＭＳ Ｐゴシック"/>
      <charset val="128"/>
      <family val="3"/>
      <sz val="11"/>
    </font>
    <font>
      <name val="ＭＳ Ｐゴシック"/>
      <charset val="128"/>
      <family val="3"/>
      <color theme="1"/>
      <sz val="11"/>
    </font>
    <font>
      <name val="ＭＳ Ｐゴシック"/>
      <charset val="128"/>
      <family val="3"/>
      <b val="1"/>
      <color rgb="FFFF0000"/>
      <sz val="12"/>
    </font>
    <font>
      <name val="ＭＳ Ｐゴシック"/>
      <charset val="128"/>
      <family val="3"/>
      <color theme="0" tint="-0.499984740745262"/>
      <sz val="12"/>
    </font>
    <font>
      <name val="ＭＳ Ｐゴシック"/>
      <charset val="128"/>
      <family val="3"/>
      <b val="1"/>
      <color theme="3" tint="0.3999755851924192"/>
      <sz val="10"/>
    </font>
    <font>
      <name val="ＭＳ Ｐゴシック"/>
      <charset val="128"/>
      <family val="3"/>
      <b val="1"/>
      <color theme="3" tint="0.3999755851924192"/>
      <sz val="6"/>
    </font>
    <font>
      <name val="ＭＳ Ｐゴシック"/>
      <charset val="128"/>
      <family val="3"/>
      <b val="1"/>
      <color theme="3" tint="0.3999755851924192"/>
      <sz val="8"/>
    </font>
    <font>
      <name val="ＭＳ Ｐゴシック"/>
      <charset val="128"/>
      <family val="3"/>
      <b val="1"/>
      <color theme="3" tint="0.3999755851924192"/>
      <sz val="9"/>
    </font>
    <font>
      <name val="ＭＳ Ｐゴシック"/>
      <charset val="128"/>
      <family val="3"/>
      <b val="1"/>
      <color theme="3" tint="0.5999938962981048"/>
      <sz val="9"/>
    </font>
    <font>
      <name val="Meiryo UI"/>
      <charset val="128"/>
      <family val="3"/>
      <color theme="1"/>
      <sz val="11"/>
    </font>
    <font>
      <name val="ＭＳ Ｐゴシック"/>
      <charset val="128"/>
      <family val="2"/>
      <sz val="6"/>
      <scheme val="minor"/>
    </font>
    <font>
      <name val="Meiryo UI"/>
      <charset val="128"/>
      <family val="3"/>
      <color theme="1"/>
      <sz val="12"/>
    </font>
    <font>
      <name val="Meiryo UI"/>
      <charset val="128"/>
      <family val="3"/>
      <color theme="1"/>
      <sz val="9"/>
    </font>
    <font>
      <name val="ＭＳ Ｐゴシック"/>
      <charset val="128"/>
      <family val="3"/>
      <color theme="3" tint="0.5999938962981048"/>
      <sz val="12"/>
    </font>
    <font>
      <name val="ＭＳ Ｐゴシック"/>
      <charset val="128"/>
      <family val="3"/>
      <b val="1"/>
      <color theme="1"/>
      <sz val="8"/>
    </font>
    <font>
      <name val="Meiryo UI"/>
      <charset val="128"/>
      <family val="3"/>
      <color theme="1"/>
      <sz val="8"/>
    </font>
    <font>
      <name val="ＭＳ Ｐゴシック"/>
      <charset val="128"/>
      <family val="3"/>
      <b val="1"/>
      <color rgb="FF000000"/>
      <sz val="12"/>
    </font>
  </fonts>
  <fills count="8">
    <fill>
      <patternFill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CC"/>
        <bgColor indexed="64"/>
      </patternFill>
    </fill>
  </fills>
  <borders count="10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3" tint="0.3999450666829432"/>
      </left>
      <right style="hair">
        <color theme="3" tint="0.3999450666829432"/>
      </right>
      <top style="thin">
        <color theme="3" tint="0.3999450666829432"/>
      </top>
      <bottom/>
      <diagonal/>
    </border>
    <border>
      <left style="hair">
        <color theme="3" tint="0.3999450666829432"/>
      </left>
      <right style="thin">
        <color theme="3" tint="0.3999450666829432"/>
      </right>
      <top style="thin">
        <color theme="3" tint="0.3999450666829432"/>
      </top>
      <bottom/>
      <diagonal/>
    </border>
    <border>
      <left style="thin">
        <color theme="3" tint="0.3999450666829432"/>
      </left>
      <right style="hair">
        <color theme="3" tint="0.3999450666829432"/>
      </right>
      <top/>
      <bottom/>
      <diagonal/>
    </border>
    <border>
      <left style="hair">
        <color theme="3" tint="0.3999450666829432"/>
      </left>
      <right style="thin">
        <color theme="3" tint="0.3999450666829432"/>
      </right>
      <top/>
      <bottom/>
      <diagonal/>
    </border>
    <border>
      <left style="thin">
        <color theme="3" tint="0.3999450666829432"/>
      </left>
      <right style="hair">
        <color theme="3" tint="0.3999450666829432"/>
      </right>
      <top/>
      <bottom style="thin">
        <color theme="3" tint="0.3999450666829432"/>
      </bottom>
      <diagonal/>
    </border>
    <border>
      <left style="hair">
        <color theme="3" tint="0.3999450666829432"/>
      </left>
      <right style="thin">
        <color theme="3" tint="0.3999450666829432"/>
      </right>
      <top/>
      <bottom style="thin">
        <color theme="3" tint="0.3999450666829432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3" tint="0.3999450666829432"/>
      </left>
      <right/>
      <top/>
      <bottom/>
      <diagonal/>
    </border>
    <border>
      <left style="hair">
        <color theme="3" tint="0.3999450666829432"/>
      </left>
      <right/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12">
    <xf numFmtId="0" fontId="4" fillId="0" borderId="0" applyAlignment="1">
      <alignment vertical="center"/>
    </xf>
    <xf numFmtId="38" fontId="4" fillId="0" borderId="0" applyAlignment="1">
      <alignment vertical="center"/>
    </xf>
    <xf numFmtId="9" fontId="4" fillId="0" borderId="0" applyAlignment="1">
      <alignment vertical="center"/>
    </xf>
    <xf numFmtId="0" fontId="9" fillId="0" borderId="0" applyAlignment="1">
      <alignment vertical="center"/>
    </xf>
    <xf numFmtId="38" fontId="9" fillId="0" borderId="0" applyAlignment="1">
      <alignment vertical="center"/>
    </xf>
    <xf numFmtId="9" fontId="9" fillId="0" borderId="0" applyAlignment="1">
      <alignment vertical="center"/>
    </xf>
    <xf numFmtId="0" fontId="10" fillId="0" borderId="0" applyAlignment="1">
      <alignment vertical="center"/>
    </xf>
    <xf numFmtId="0" fontId="3" fillId="0" borderId="0" applyAlignment="1">
      <alignment vertical="center"/>
    </xf>
    <xf numFmtId="0" fontId="3" fillId="0" borderId="0" applyAlignment="1">
      <alignment vertical="center"/>
    </xf>
    <xf numFmtId="0" fontId="3" fillId="0" borderId="0" applyAlignment="1">
      <alignment vertical="center"/>
    </xf>
    <xf numFmtId="0" fontId="3" fillId="0" borderId="0" applyAlignment="1">
      <alignment vertical="center"/>
    </xf>
    <xf numFmtId="38" fontId="3" fillId="0" borderId="0" applyAlignment="1">
      <alignment vertical="center"/>
    </xf>
  </cellStyleXfs>
  <cellXfs count="400">
    <xf numFmtId="0" fontId="0" fillId="0" borderId="0" applyAlignment="1" pivotButton="0" quotePrefix="0" xfId="0">
      <alignment vertical="center"/>
    </xf>
    <xf numFmtId="164" fontId="6" fillId="3" borderId="0" applyAlignment="1" pivotButton="0" quotePrefix="0" xfId="1">
      <alignment vertical="center"/>
    </xf>
    <xf numFmtId="164" fontId="6" fillId="0" borderId="0" applyAlignment="1" pivotButton="0" quotePrefix="0" xfId="1">
      <alignment vertical="center"/>
    </xf>
    <xf numFmtId="164" fontId="11" fillId="3" borderId="0" applyAlignment="1" pivotButton="0" quotePrefix="0" xfId="1">
      <alignment horizontal="right" vertical="center"/>
    </xf>
    <xf numFmtId="0" fontId="6" fillId="3" borderId="0" applyAlignment="1" pivotButton="0" quotePrefix="0" xfId="1">
      <alignment vertical="center"/>
    </xf>
    <xf numFmtId="0" fontId="6" fillId="0" borderId="0" applyAlignment="1" pivotButton="0" quotePrefix="0" xfId="1">
      <alignment vertical="center"/>
    </xf>
    <xf numFmtId="0" fontId="6" fillId="0" borderId="75" applyAlignment="1" pivotButton="0" quotePrefix="0" xfId="1">
      <alignment vertical="center"/>
    </xf>
    <xf numFmtId="164" fontId="6" fillId="0" borderId="16" applyAlignment="1" pivotButton="0" quotePrefix="0" xfId="1">
      <alignment horizontal="center" vertical="center"/>
    </xf>
    <xf numFmtId="164" fontId="6" fillId="0" borderId="28" applyAlignment="1" pivotButton="0" quotePrefix="0" xfId="1">
      <alignment vertical="center"/>
    </xf>
    <xf numFmtId="164" fontId="6" fillId="0" borderId="2" applyAlignment="1" pivotButton="0" quotePrefix="0" xfId="1">
      <alignment horizontal="center" vertical="center"/>
    </xf>
    <xf numFmtId="164" fontId="6" fillId="0" borderId="35" applyAlignment="1" pivotButton="0" quotePrefix="0" xfId="1">
      <alignment vertical="center"/>
    </xf>
    <xf numFmtId="164" fontId="6" fillId="0" borderId="50" applyAlignment="1" pivotButton="0" quotePrefix="0" xfId="1">
      <alignment vertical="center"/>
    </xf>
    <xf numFmtId="164" fontId="6" fillId="0" borderId="35" applyAlignment="1" pivotButton="0" quotePrefix="0" xfId="1">
      <alignment horizontal="center" vertical="center"/>
    </xf>
    <xf numFmtId="164" fontId="6" fillId="0" borderId="36" applyAlignment="1" pivotButton="0" quotePrefix="0" xfId="1">
      <alignment vertical="center"/>
    </xf>
    <xf numFmtId="164" fontId="6" fillId="0" borderId="51" applyAlignment="1" pivotButton="0" quotePrefix="0" xfId="1">
      <alignment vertical="center"/>
    </xf>
    <xf numFmtId="164" fontId="6" fillId="0" borderId="36" applyAlignment="1" pivotButton="0" quotePrefix="0" xfId="1">
      <alignment horizontal="center" vertical="center"/>
    </xf>
    <xf numFmtId="164" fontId="6" fillId="0" borderId="39" applyAlignment="1" pivotButton="0" quotePrefix="0" xfId="1">
      <alignment vertical="center"/>
    </xf>
    <xf numFmtId="164" fontId="6" fillId="0" borderId="54" applyAlignment="1" pivotButton="0" quotePrefix="1" xfId="1">
      <alignment vertical="center"/>
    </xf>
    <xf numFmtId="164" fontId="6" fillId="0" borderId="39" applyAlignment="1" pivotButton="0" quotePrefix="1" xfId="1">
      <alignment horizontal="center" vertical="center"/>
    </xf>
    <xf numFmtId="164" fontId="6" fillId="0" borderId="38" applyAlignment="1" pivotButton="0" quotePrefix="0" xfId="1">
      <alignment vertical="center"/>
    </xf>
    <xf numFmtId="164" fontId="6" fillId="0" borderId="53" applyAlignment="1" pivotButton="0" quotePrefix="0" xfId="1">
      <alignment vertical="center"/>
    </xf>
    <xf numFmtId="164" fontId="6" fillId="0" borderId="38" applyAlignment="1" pivotButton="0" quotePrefix="0" xfId="1">
      <alignment horizontal="center" vertical="center"/>
    </xf>
    <xf numFmtId="164" fontId="6" fillId="0" borderId="37" applyAlignment="1" pivotButton="0" quotePrefix="0" xfId="1">
      <alignment vertical="center"/>
    </xf>
    <xf numFmtId="164" fontId="6" fillId="0" borderId="52" applyAlignment="1" pivotButton="0" quotePrefix="1" xfId="1">
      <alignment vertical="center"/>
    </xf>
    <xf numFmtId="164" fontId="6" fillId="0" borderId="37" applyAlignment="1" pivotButton="0" quotePrefix="1" xfId="1">
      <alignment horizontal="center" vertical="center"/>
    </xf>
    <xf numFmtId="164" fontId="6" fillId="0" borderId="65" applyAlignment="1" pivotButton="0" quotePrefix="0" xfId="1">
      <alignment vertical="center"/>
    </xf>
    <xf numFmtId="164" fontId="6" fillId="0" borderId="49" applyAlignment="1" pivotButton="0" quotePrefix="1" xfId="1">
      <alignment vertical="center"/>
    </xf>
    <xf numFmtId="164" fontId="6" fillId="0" borderId="29" applyAlignment="1" pivotButton="0" quotePrefix="1" xfId="1">
      <alignment horizontal="center" vertical="center"/>
    </xf>
    <xf numFmtId="164" fontId="6" fillId="0" borderId="50" applyAlignment="1" pivotButton="0" quotePrefix="1" xfId="1">
      <alignment vertical="center"/>
    </xf>
    <xf numFmtId="164" fontId="6" fillId="0" borderId="35" applyAlignment="1" pivotButton="0" quotePrefix="1" xfId="1">
      <alignment horizontal="center" vertical="center"/>
    </xf>
    <xf numFmtId="164" fontId="6" fillId="0" borderId="60" applyAlignment="1" pivotButton="0" quotePrefix="0" xfId="1">
      <alignment horizontal="center" vertical="center"/>
    </xf>
    <xf numFmtId="164" fontId="6" fillId="0" borderId="13" applyAlignment="1" pivotButton="0" quotePrefix="0" xfId="1">
      <alignment horizontal="center" vertical="center"/>
    </xf>
    <xf numFmtId="164" fontId="6" fillId="0" borderId="55" applyAlignment="1" pivotButton="0" quotePrefix="0" xfId="1">
      <alignment vertical="center"/>
    </xf>
    <xf numFmtId="164" fontId="6" fillId="0" borderId="61" applyAlignment="1" pivotButton="0" quotePrefix="0" xfId="1">
      <alignment horizontal="center" vertical="center"/>
    </xf>
    <xf numFmtId="164" fontId="6" fillId="0" borderId="42" applyAlignment="1" pivotButton="0" quotePrefix="0" xfId="1">
      <alignment vertical="center"/>
    </xf>
    <xf numFmtId="164" fontId="6" fillId="0" borderId="57" applyAlignment="1" pivotButton="0" quotePrefix="0" xfId="1">
      <alignment vertical="center"/>
    </xf>
    <xf numFmtId="164" fontId="6" fillId="0" borderId="58" applyAlignment="1" pivotButton="0" quotePrefix="0" xfId="1">
      <alignment vertical="center"/>
    </xf>
    <xf numFmtId="164" fontId="6" fillId="0" borderId="40" applyAlignment="1" pivotButton="0" quotePrefix="0" xfId="1">
      <alignment vertical="center"/>
    </xf>
    <xf numFmtId="164" fontId="6" fillId="0" borderId="43" applyAlignment="1" pivotButton="0" quotePrefix="0" xfId="1">
      <alignment vertical="center"/>
    </xf>
    <xf numFmtId="164" fontId="6" fillId="0" borderId="45" applyAlignment="1" pivotButton="0" quotePrefix="0" xfId="1">
      <alignment vertical="center"/>
    </xf>
    <xf numFmtId="164" fontId="6" fillId="3" borderId="0" applyAlignment="1" pivotButton="0" quotePrefix="0" xfId="1">
      <alignment horizontal="center" vertical="center"/>
    </xf>
    <xf numFmtId="164" fontId="6" fillId="4" borderId="59" applyAlignment="1" pivotButton="0" quotePrefix="1" xfId="1">
      <alignment horizontal="center" vertical="center"/>
    </xf>
    <xf numFmtId="164" fontId="6" fillId="4" borderId="39" applyAlignment="1" pivotButton="0" quotePrefix="1" xfId="1">
      <alignment horizontal="center" vertical="center"/>
    </xf>
    <xf numFmtId="164" fontId="6" fillId="4" borderId="52" applyAlignment="1" pivotButton="0" quotePrefix="1" xfId="1">
      <alignment horizontal="center" vertical="center"/>
    </xf>
    <xf numFmtId="164" fontId="6" fillId="4" borderId="37" applyAlignment="1" pivotButton="0" quotePrefix="1" xfId="1">
      <alignment horizontal="center" vertical="center"/>
    </xf>
    <xf numFmtId="164" fontId="6" fillId="4" borderId="54" applyAlignment="1" pivotButton="0" quotePrefix="1" xfId="1">
      <alignment horizontal="center" vertical="center"/>
    </xf>
    <xf numFmtId="165" fontId="6" fillId="4" borderId="54" applyAlignment="1" pivotButton="0" quotePrefix="1" xfId="1">
      <alignment horizontal="center" vertical="center"/>
    </xf>
    <xf numFmtId="9" fontId="6" fillId="4" borderId="48" applyAlignment="1" pivotButton="0" quotePrefix="0" xfId="2">
      <alignment vertical="center"/>
    </xf>
    <xf numFmtId="164" fontId="6" fillId="4" borderId="28" applyAlignment="1" pivotButton="0" quotePrefix="0" xfId="1">
      <alignment horizontal="center" vertical="center"/>
    </xf>
    <xf numFmtId="164" fontId="12" fillId="0" borderId="57" applyAlignment="1" pivotButton="0" quotePrefix="0" xfId="1">
      <alignment horizontal="right" vertical="center"/>
    </xf>
    <xf numFmtId="164" fontId="16" fillId="0" borderId="0" applyAlignment="1" pivotButton="0" quotePrefix="0" xfId="1">
      <alignment vertical="center"/>
    </xf>
    <xf numFmtId="164" fontId="15" fillId="0" borderId="0" applyAlignment="1" pivotButton="0" quotePrefix="0" xfId="1">
      <alignment vertical="center"/>
    </xf>
    <xf numFmtId="0" fontId="18" fillId="0" borderId="55" applyAlignment="1" pivotButton="0" quotePrefix="0" xfId="0">
      <alignment horizontal="center" vertical="center"/>
    </xf>
    <xf numFmtId="0" fontId="18" fillId="0" borderId="77" applyAlignment="1" pivotButton="0" quotePrefix="0" xfId="0">
      <alignment vertical="center"/>
    </xf>
    <xf numFmtId="164" fontId="20" fillId="3" borderId="78" applyAlignment="1" pivotButton="0" quotePrefix="0" xfId="1">
      <alignment vertical="center"/>
    </xf>
    <xf numFmtId="0" fontId="18" fillId="0" borderId="70" applyAlignment="1" pivotButton="0" quotePrefix="0" xfId="0">
      <alignment horizontal="center" vertical="center"/>
    </xf>
    <xf numFmtId="0" fontId="18" fillId="3" borderId="81" applyAlignment="1" pivotButton="0" quotePrefix="0" xfId="0">
      <alignment vertical="center"/>
    </xf>
    <xf numFmtId="0" fontId="18" fillId="0" borderId="80" applyAlignment="1" pivotButton="0" quotePrefix="0" xfId="0">
      <alignment vertical="center"/>
    </xf>
    <xf numFmtId="0" fontId="18" fillId="0" borderId="8" applyAlignment="1" pivotButton="0" quotePrefix="0" xfId="0">
      <alignment horizontal="center" vertical="center"/>
    </xf>
    <xf numFmtId="0" fontId="18" fillId="3" borderId="35" applyAlignment="1" pivotButton="0" quotePrefix="0" xfId="0">
      <alignment vertical="center"/>
    </xf>
    <xf numFmtId="0" fontId="18" fillId="0" borderId="76" applyAlignment="1" pivotButton="0" quotePrefix="0" xfId="0">
      <alignment vertical="center"/>
    </xf>
    <xf numFmtId="0" fontId="18" fillId="0" borderId="82" applyAlignment="1" pivotButton="0" quotePrefix="0" xfId="0">
      <alignment horizontal="center" vertical="center"/>
    </xf>
    <xf numFmtId="0" fontId="18" fillId="3" borderId="29" applyAlignment="1" pivotButton="0" quotePrefix="0" xfId="0">
      <alignment vertical="center"/>
    </xf>
    <xf numFmtId="0" fontId="18" fillId="0" borderId="83" applyAlignment="1" pivotButton="0" quotePrefix="0" xfId="0">
      <alignment vertical="center"/>
    </xf>
    <xf numFmtId="0" fontId="15" fillId="0" borderId="0" applyAlignment="1" pivotButton="0" quotePrefix="0" xfId="1">
      <alignment vertical="center"/>
    </xf>
    <xf numFmtId="166" fontId="22" fillId="0" borderId="0" applyAlignment="1" pivotButton="0" quotePrefix="0" xfId="1">
      <alignment horizontal="center" vertical="center"/>
    </xf>
    <xf numFmtId="166" fontId="22" fillId="0" borderId="0" applyAlignment="1" pivotButton="0" quotePrefix="1" xfId="1">
      <alignment horizontal="center" vertical="center" shrinkToFit="1"/>
    </xf>
    <xf numFmtId="166" fontId="22" fillId="0" borderId="0" applyAlignment="1" pivotButton="0" quotePrefix="0" xfId="1">
      <alignment horizontal="center" vertical="top"/>
    </xf>
    <xf numFmtId="166" fontId="22" fillId="0" borderId="0" applyAlignment="1" pivotButton="0" quotePrefix="1" xfId="1">
      <alignment horizontal="center" shrinkToFit="1"/>
    </xf>
    <xf numFmtId="166" fontId="22" fillId="0" borderId="0" applyAlignment="1" pivotButton="0" quotePrefix="1" xfId="1">
      <alignment horizontal="center" vertical="top" shrinkToFit="1"/>
    </xf>
    <xf numFmtId="38" fontId="22" fillId="0" borderId="0" applyAlignment="1" pivotButton="0" quotePrefix="1" xfId="1">
      <alignment horizontal="center" vertical="center" shrinkToFit="1"/>
    </xf>
    <xf numFmtId="165" fontId="22" fillId="0" borderId="0" applyAlignment="1" pivotButton="0" quotePrefix="1" xfId="2">
      <alignment horizontal="center" vertical="center" shrinkToFit="1"/>
    </xf>
    <xf numFmtId="165" fontId="22" fillId="0" borderId="0" applyAlignment="1" pivotButton="0" quotePrefix="0" xfId="2">
      <alignment horizontal="center" vertical="center"/>
    </xf>
    <xf numFmtId="0" fontId="6" fillId="0" borderId="0" applyAlignment="1" pivotButton="0" quotePrefix="0" xfId="1">
      <alignment horizontal="center" vertical="center"/>
    </xf>
    <xf numFmtId="164" fontId="8" fillId="0" borderId="0" applyAlignment="1" pivotButton="0" quotePrefix="0" xfId="1">
      <alignment vertical="center"/>
    </xf>
    <xf numFmtId="164" fontId="8" fillId="0" borderId="0" applyAlignment="1" pivotButton="0" quotePrefix="1" xfId="1">
      <alignment vertical="center"/>
    </xf>
    <xf numFmtId="164" fontId="6" fillId="0" borderId="86" applyAlignment="1" pivotButton="0" quotePrefix="0" xfId="1">
      <alignment vertical="center"/>
    </xf>
    <xf numFmtId="166" fontId="22" fillId="0" borderId="87" applyAlignment="1" pivotButton="0" quotePrefix="0" xfId="1">
      <alignment horizontal="center" vertical="center"/>
    </xf>
    <xf numFmtId="164" fontId="13" fillId="0" borderId="86" applyAlignment="1" pivotButton="0" quotePrefix="1" xfId="1">
      <alignment horizontal="right" vertical="center" shrinkToFit="1"/>
    </xf>
    <xf numFmtId="38" fontId="22" fillId="0" borderId="87" applyAlignment="1" pivotButton="0" quotePrefix="1" xfId="1">
      <alignment horizontal="center" vertical="center" shrinkToFit="1"/>
    </xf>
    <xf numFmtId="164" fontId="15" fillId="0" borderId="86" applyAlignment="1" pivotButton="0" quotePrefix="0" xfId="1">
      <alignment horizontal="right" vertical="top"/>
    </xf>
    <xf numFmtId="166" fontId="22" fillId="0" borderId="87" applyAlignment="1" pivotButton="0" quotePrefix="0" xfId="1">
      <alignment horizontal="center" vertical="top"/>
    </xf>
    <xf numFmtId="166" fontId="22" fillId="0" borderId="87" applyAlignment="1" pivotButton="0" quotePrefix="1" xfId="1">
      <alignment horizontal="center" vertical="center" shrinkToFit="1"/>
    </xf>
    <xf numFmtId="165" fontId="22" fillId="0" borderId="87" applyAlignment="1" pivotButton="0" quotePrefix="1" xfId="2">
      <alignment horizontal="center" vertical="center" shrinkToFit="1"/>
    </xf>
    <xf numFmtId="165" fontId="22" fillId="0" borderId="87" applyAlignment="1" pivotButton="0" quotePrefix="0" xfId="2">
      <alignment horizontal="center" vertical="center"/>
    </xf>
    <xf numFmtId="164" fontId="15" fillId="0" borderId="86" applyAlignment="1" pivotButton="0" quotePrefix="1" xfId="1">
      <alignment horizontal="right" shrinkToFit="1"/>
    </xf>
    <xf numFmtId="166" fontId="22" fillId="0" borderId="87" applyAlignment="1" pivotButton="0" quotePrefix="1" xfId="1">
      <alignment horizontal="center" shrinkToFit="1"/>
    </xf>
    <xf numFmtId="164" fontId="15" fillId="0" borderId="86" applyAlignment="1" pivotButton="0" quotePrefix="1" xfId="1">
      <alignment horizontal="right" vertical="top" shrinkToFit="1"/>
    </xf>
    <xf numFmtId="166" fontId="22" fillId="0" borderId="87" applyAlignment="1" pivotButton="0" quotePrefix="1" xfId="1">
      <alignment horizontal="center" vertical="top" shrinkToFit="1"/>
    </xf>
    <xf numFmtId="164" fontId="6" fillId="0" borderId="88" applyAlignment="1" pivotButton="0" quotePrefix="0" xfId="1">
      <alignment vertical="center"/>
    </xf>
    <xf numFmtId="166" fontId="22" fillId="0" borderId="89" applyAlignment="1" pivotButton="0" quotePrefix="0" xfId="1">
      <alignment horizontal="center" vertical="center"/>
    </xf>
    <xf numFmtId="164" fontId="21" fillId="5" borderId="0" applyAlignment="1" pivotButton="0" quotePrefix="0" xfId="1">
      <alignment vertical="center"/>
    </xf>
    <xf numFmtId="0" fontId="21" fillId="5" borderId="0" applyAlignment="1" pivotButton="0" quotePrefix="0" xfId="0">
      <alignment vertical="center"/>
    </xf>
    <xf numFmtId="164" fontId="6" fillId="5" borderId="0" applyAlignment="1" pivotButton="0" quotePrefix="0" xfId="1">
      <alignment horizontal="center" vertical="center"/>
    </xf>
    <xf numFmtId="164" fontId="6" fillId="5" borderId="0" applyAlignment="1" pivotButton="0" quotePrefix="0" xfId="1">
      <alignment vertical="center"/>
    </xf>
    <xf numFmtId="164" fontId="23" fillId="3" borderId="0" applyAlignment="1" pivotButton="0" quotePrefix="0" xfId="1">
      <alignment vertical="center"/>
    </xf>
    <xf numFmtId="164" fontId="6" fillId="0" borderId="54" applyAlignment="1" pivotButton="0" quotePrefix="1" xfId="1">
      <alignment horizontal="center" vertical="center"/>
    </xf>
    <xf numFmtId="0" fontId="18" fillId="0" borderId="79" applyAlignment="1" pivotButton="0" quotePrefix="0" xfId="0">
      <alignment horizontal="center" vertical="center"/>
    </xf>
    <xf numFmtId="164" fontId="21" fillId="3" borderId="77" applyAlignment="1" pivotButton="0" quotePrefix="0" xfId="1">
      <alignment horizontal="center" vertical="center"/>
    </xf>
    <xf numFmtId="0" fontId="18" fillId="0" borderId="77" applyAlignment="1" pivotButton="0" quotePrefix="0" xfId="0">
      <alignment horizontal="center" vertical="center"/>
    </xf>
    <xf numFmtId="164" fontId="21" fillId="3" borderId="78" applyAlignment="1" pivotButton="0" quotePrefix="0" xfId="1">
      <alignment horizontal="center" vertical="center"/>
    </xf>
    <xf numFmtId="9" fontId="24" fillId="3" borderId="80" applyAlignment="1" pivotButton="0" quotePrefix="0" xfId="2">
      <alignment vertical="center"/>
    </xf>
    <xf numFmtId="9" fontId="24" fillId="3" borderId="76" applyAlignment="1" pivotButton="0" quotePrefix="0" xfId="2">
      <alignment vertical="center"/>
    </xf>
    <xf numFmtId="9" fontId="24" fillId="3" borderId="83" applyAlignment="1" pivotButton="0" quotePrefix="0" xfId="2">
      <alignment vertical="center"/>
    </xf>
    <xf numFmtId="0" fontId="24" fillId="3" borderId="81" applyAlignment="1" pivotButton="0" quotePrefix="0" xfId="0">
      <alignment vertical="center"/>
    </xf>
    <xf numFmtId="0" fontId="24" fillId="3" borderId="35" applyAlignment="1" pivotButton="0" quotePrefix="0" xfId="0">
      <alignment vertical="center"/>
    </xf>
    <xf numFmtId="0" fontId="24" fillId="3" borderId="29" applyAlignment="1" pivotButton="0" quotePrefix="0" xfId="0">
      <alignment vertical="center"/>
    </xf>
    <xf numFmtId="0" fontId="6" fillId="6" borderId="40" applyAlignment="1" pivotButton="0" quotePrefix="0" xfId="1">
      <alignment vertical="center"/>
    </xf>
    <xf numFmtId="0" fontId="6" fillId="6" borderId="42" applyAlignment="1" pivotButton="0" quotePrefix="0" xfId="1">
      <alignment vertical="center"/>
    </xf>
    <xf numFmtId="164" fontId="8" fillId="6" borderId="7" applyAlignment="1" pivotButton="0" quotePrefix="0" xfId="1">
      <alignment vertical="center"/>
    </xf>
    <xf numFmtId="164" fontId="6" fillId="6" borderId="6" applyAlignment="1" pivotButton="0" quotePrefix="0" xfId="1">
      <alignment vertical="center"/>
    </xf>
    <xf numFmtId="164" fontId="8" fillId="6" borderId="30" applyAlignment="1" pivotButton="0" quotePrefix="0" xfId="1">
      <alignment vertical="center"/>
    </xf>
    <xf numFmtId="164" fontId="6" fillId="6" borderId="50" applyAlignment="1" pivotButton="0" quotePrefix="0" xfId="1">
      <alignment vertical="center" shrinkToFit="1"/>
    </xf>
    <xf numFmtId="164" fontId="8" fillId="6" borderId="8" applyAlignment="1" pivotButton="0" quotePrefix="0" xfId="1">
      <alignment vertical="center"/>
    </xf>
    <xf numFmtId="164" fontId="6" fillId="6" borderId="1" applyAlignment="1" pivotButton="0" quotePrefix="0" xfId="1">
      <alignment vertical="center"/>
    </xf>
    <xf numFmtId="164" fontId="8" fillId="6" borderId="27" applyAlignment="1" pivotButton="0" quotePrefix="0" xfId="1">
      <alignment vertical="center"/>
    </xf>
    <xf numFmtId="164" fontId="6" fillId="6" borderId="51" applyAlignment="1" pivotButton="0" quotePrefix="0" xfId="1">
      <alignment vertical="center" shrinkToFit="1"/>
    </xf>
    <xf numFmtId="164" fontId="8" fillId="6" borderId="9" applyAlignment="1" pivotButton="0" quotePrefix="0" xfId="1">
      <alignment vertical="center"/>
    </xf>
    <xf numFmtId="164" fontId="6" fillId="6" borderId="3" applyAlignment="1" pivotButton="0" quotePrefix="0" xfId="1">
      <alignment vertical="center"/>
    </xf>
    <xf numFmtId="164" fontId="8" fillId="6" borderId="31" applyAlignment="1" pivotButton="0" quotePrefix="0" xfId="1">
      <alignment vertical="center"/>
    </xf>
    <xf numFmtId="164" fontId="8" fillId="6" borderId="11" applyAlignment="1" pivotButton="0" quotePrefix="1" xfId="1">
      <alignment vertical="center"/>
    </xf>
    <xf numFmtId="166" fontId="6" fillId="6" borderId="4" applyAlignment="1" pivotButton="0" quotePrefix="0" xfId="1">
      <alignment vertical="center"/>
    </xf>
    <xf numFmtId="164" fontId="8" fillId="6" borderId="34" applyAlignment="1" pivotButton="0" quotePrefix="1" xfId="1">
      <alignment vertical="center"/>
    </xf>
    <xf numFmtId="164" fontId="8" fillId="6" borderId="26" applyAlignment="1" pivotButton="0" quotePrefix="0" xfId="1">
      <alignment vertical="center"/>
    </xf>
    <xf numFmtId="164" fontId="6" fillId="6" borderId="25" applyAlignment="1" pivotButton="0" quotePrefix="0" xfId="1">
      <alignment vertical="center"/>
    </xf>
    <xf numFmtId="164" fontId="8" fillId="6" borderId="33" applyAlignment="1" pivotButton="0" quotePrefix="0" xfId="1">
      <alignment vertical="center"/>
    </xf>
    <xf numFmtId="164" fontId="8" fillId="6" borderId="15" applyAlignment="1" pivotButton="0" quotePrefix="1" xfId="1">
      <alignment vertical="center"/>
    </xf>
    <xf numFmtId="164" fontId="6" fillId="6" borderId="14" applyAlignment="1" pivotButton="0" quotePrefix="0" xfId="1">
      <alignment vertical="center"/>
    </xf>
    <xf numFmtId="164" fontId="8" fillId="6" borderId="32" applyAlignment="1" pivotButton="0" quotePrefix="1" xfId="1">
      <alignment vertical="center"/>
    </xf>
    <xf numFmtId="164" fontId="8" fillId="6" borderId="67" applyAlignment="1" pivotButton="0" quotePrefix="0" xfId="1">
      <alignment vertical="center"/>
    </xf>
    <xf numFmtId="164" fontId="6" fillId="6" borderId="69" applyAlignment="1" pivotButton="0" quotePrefix="0" xfId="1">
      <alignment vertical="center"/>
    </xf>
    <xf numFmtId="164" fontId="8" fillId="6" borderId="68" applyAlignment="1" pivotButton="0" quotePrefix="0" xfId="1">
      <alignment vertical="center"/>
    </xf>
    <xf numFmtId="167" fontId="6" fillId="6" borderId="54" applyAlignment="1" pivotButton="0" quotePrefix="0" xfId="1">
      <alignment vertical="center" shrinkToFit="1"/>
    </xf>
    <xf numFmtId="167" fontId="6" fillId="6" borderId="4" applyAlignment="1" pivotButton="0" quotePrefix="0" xfId="1">
      <alignment vertical="center"/>
    </xf>
    <xf numFmtId="167" fontId="6" fillId="6" borderId="52" applyAlignment="1" pivotButton="0" quotePrefix="0" xfId="1">
      <alignment vertical="center" shrinkToFit="1"/>
    </xf>
    <xf numFmtId="167" fontId="6" fillId="6" borderId="14" applyAlignment="1" pivotButton="0" quotePrefix="0" xfId="1">
      <alignment vertical="center"/>
    </xf>
    <xf numFmtId="164" fontId="6" fillId="6" borderId="54" applyAlignment="1" pivotButton="0" quotePrefix="0" xfId="1">
      <alignment vertical="center" shrinkToFit="1"/>
    </xf>
    <xf numFmtId="164" fontId="6" fillId="6" borderId="4" applyAlignment="1" pivotButton="0" quotePrefix="0" xfId="1">
      <alignment vertical="center"/>
    </xf>
    <xf numFmtId="164" fontId="6" fillId="6" borderId="14" applyAlignment="1" pivotButton="0" quotePrefix="0" xfId="1">
      <alignment horizontal="right" vertical="center"/>
    </xf>
    <xf numFmtId="164" fontId="6" fillId="7" borderId="48" applyAlignment="1" applyProtection="1" pivotButton="0" quotePrefix="0" xfId="1">
      <alignment vertical="center" shrinkToFit="1"/>
      <protection locked="0" hidden="0"/>
    </xf>
    <xf numFmtId="0" fontId="6" fillId="2" borderId="0" applyAlignment="1" applyProtection="1" pivotButton="0" quotePrefix="0" xfId="1">
      <alignment horizontal="center" vertical="center"/>
      <protection locked="0" hidden="0"/>
    </xf>
    <xf numFmtId="164" fontId="6" fillId="2" borderId="72" applyAlignment="1" applyProtection="1" pivotButton="0" quotePrefix="0" xfId="1">
      <alignment vertical="center"/>
      <protection locked="0" hidden="0"/>
    </xf>
    <xf numFmtId="164" fontId="6" fillId="2" borderId="73" applyAlignment="1" applyProtection="1" pivotButton="0" quotePrefix="0" xfId="1">
      <alignment vertical="center"/>
      <protection locked="0" hidden="0"/>
    </xf>
    <xf numFmtId="164" fontId="6" fillId="2" borderId="46" applyAlignment="1" applyProtection="1" pivotButton="0" quotePrefix="0" xfId="1">
      <alignment vertical="center"/>
      <protection locked="0" hidden="0"/>
    </xf>
    <xf numFmtId="164" fontId="6" fillId="2" borderId="47" applyAlignment="1" applyProtection="1" pivotButton="0" quotePrefix="0" xfId="1">
      <alignment vertical="center"/>
      <protection locked="0" hidden="0"/>
    </xf>
    <xf numFmtId="168" fontId="6" fillId="2" borderId="21" applyAlignment="1" applyProtection="1" pivotButton="0" quotePrefix="1" xfId="1">
      <alignment vertical="center"/>
      <protection locked="0" hidden="0"/>
    </xf>
    <xf numFmtId="164" fontId="6" fillId="2" borderId="58" applyAlignment="1" applyProtection="1" pivotButton="0" quotePrefix="0" xfId="1">
      <alignment vertical="center"/>
      <protection locked="0" hidden="0"/>
    </xf>
    <xf numFmtId="164" fontId="6" fillId="2" borderId="70" applyAlignment="1" applyProtection="1" pivotButton="0" quotePrefix="0" xfId="1">
      <alignment vertical="center"/>
      <protection locked="0" hidden="0"/>
    </xf>
    <xf numFmtId="164" fontId="6" fillId="2" borderId="45" applyAlignment="1" applyProtection="1" pivotButton="0" quotePrefix="0" xfId="1">
      <alignment vertical="center"/>
      <protection locked="0" hidden="0"/>
    </xf>
    <xf numFmtId="168" fontId="6" fillId="2" borderId="19" applyAlignment="1" applyProtection="1" pivotButton="0" quotePrefix="1" xfId="1">
      <alignment vertical="center"/>
      <protection locked="0" hidden="0"/>
    </xf>
    <xf numFmtId="164" fontId="6" fillId="2" borderId="57" applyAlignment="1" applyProtection="1" pivotButton="0" quotePrefix="0" xfId="1">
      <alignment vertical="center"/>
      <protection locked="0" hidden="0"/>
    </xf>
    <xf numFmtId="164" fontId="6" fillId="2" borderId="0" applyAlignment="1" applyProtection="1" pivotButton="0" quotePrefix="0" xfId="1">
      <alignment vertical="center"/>
      <protection locked="0" hidden="0"/>
    </xf>
    <xf numFmtId="164" fontId="6" fillId="2" borderId="43" applyAlignment="1" applyProtection="1" pivotButton="0" quotePrefix="0" xfId="1">
      <alignment vertical="center"/>
      <protection locked="0" hidden="0"/>
    </xf>
    <xf numFmtId="164" fontId="6" fillId="2" borderId="44" applyAlignment="1" applyProtection="1" pivotButton="0" quotePrefix="0" xfId="1">
      <alignment vertical="center"/>
      <protection locked="0" hidden="0"/>
    </xf>
    <xf numFmtId="38" fontId="18" fillId="2" borderId="17" applyAlignment="1" applyProtection="1" pivotButton="0" quotePrefix="0" xfId="1">
      <alignment vertical="center"/>
      <protection locked="0" hidden="0"/>
    </xf>
    <xf numFmtId="38" fontId="18" fillId="2" borderId="90" applyAlignment="1" applyProtection="1" pivotButton="0" quotePrefix="0" xfId="1">
      <alignment vertical="center"/>
      <protection locked="0" hidden="0"/>
    </xf>
    <xf numFmtId="38" fontId="18" fillId="2" borderId="80" applyAlignment="1" applyProtection="1" pivotButton="0" quotePrefix="0" xfId="1">
      <alignment vertical="center"/>
      <protection locked="0" hidden="0"/>
    </xf>
    <xf numFmtId="38" fontId="18" fillId="2" borderId="76" applyAlignment="1" applyProtection="1" pivotButton="0" quotePrefix="0" xfId="1">
      <alignment vertical="center"/>
      <protection locked="0" hidden="0"/>
    </xf>
    <xf numFmtId="38" fontId="18" fillId="2" borderId="83" applyAlignment="1" applyProtection="1" pivotButton="0" quotePrefix="0" xfId="1">
      <alignment vertical="center"/>
      <protection locked="0" hidden="0"/>
    </xf>
    <xf numFmtId="164" fontId="6" fillId="7" borderId="53" applyAlignment="1" applyProtection="1" pivotButton="0" quotePrefix="0" xfId="1">
      <alignment vertical="center" shrinkToFit="1"/>
      <protection locked="0" hidden="0"/>
    </xf>
    <xf numFmtId="164" fontId="6" fillId="7" borderId="52" applyAlignment="1" applyProtection="1" pivotButton="0" quotePrefix="0" xfId="1">
      <alignment horizontal="right" vertical="center" shrinkToFit="1"/>
      <protection locked="0" hidden="0"/>
    </xf>
    <xf numFmtId="164" fontId="6" fillId="7" borderId="51" applyAlignment="1" applyProtection="1" pivotButton="0" quotePrefix="0" xfId="1">
      <alignment vertical="center" shrinkToFit="1"/>
      <protection locked="0" hidden="0"/>
    </xf>
    <xf numFmtId="164" fontId="6" fillId="7" borderId="66" applyAlignment="1" applyProtection="1" pivotButton="0" quotePrefix="0" xfId="1">
      <alignment vertical="center" shrinkToFit="1"/>
      <protection locked="0" hidden="0"/>
    </xf>
    <xf numFmtId="166" fontId="6" fillId="7" borderId="54" applyAlignment="1" applyProtection="1" pivotButton="0" quotePrefix="0" xfId="1">
      <alignment vertical="center" shrinkToFit="1"/>
      <protection locked="0" hidden="0"/>
    </xf>
    <xf numFmtId="164" fontId="6" fillId="2" borderId="76" applyAlignment="1" applyProtection="1" pivotButton="0" quotePrefix="0" xfId="1">
      <alignment horizontal="left" vertical="center"/>
      <protection locked="0" hidden="0"/>
    </xf>
    <xf numFmtId="164" fontId="6" fillId="6" borderId="53" applyAlignment="1" applyProtection="1" pivotButton="0" quotePrefix="0" xfId="1">
      <alignment vertical="center" shrinkToFit="1"/>
      <protection locked="0" hidden="0"/>
    </xf>
    <xf numFmtId="164" fontId="6" fillId="6" borderId="52" applyAlignment="1" applyProtection="1" pivotButton="0" quotePrefix="0" xfId="1">
      <alignment vertical="center" shrinkToFit="1"/>
      <protection locked="0" hidden="0"/>
    </xf>
    <xf numFmtId="0" fontId="7" fillId="0" borderId="40" applyAlignment="1" pivotButton="0" quotePrefix="0" xfId="1">
      <alignment horizontal="center" vertical="center"/>
    </xf>
    <xf numFmtId="0" fontId="7" fillId="0" borderId="41" applyAlignment="1" pivotButton="0" quotePrefix="0" xfId="1">
      <alignment horizontal="center" vertical="center"/>
    </xf>
    <xf numFmtId="0" fontId="7" fillId="0" borderId="42" applyAlignment="1" pivotButton="0" quotePrefix="0" xfId="1">
      <alignment horizontal="center" vertical="center"/>
    </xf>
    <xf numFmtId="0" fontId="7" fillId="0" borderId="43" applyAlignment="1" pivotButton="0" quotePrefix="0" xfId="1">
      <alignment horizontal="center" vertical="center"/>
    </xf>
    <xf numFmtId="0" fontId="7" fillId="0" borderId="44" applyAlignment="1" pivotButton="0" quotePrefix="0" xfId="1">
      <alignment horizontal="center" vertical="center"/>
    </xf>
    <xf numFmtId="0" fontId="7" fillId="0" borderId="45" applyAlignment="1" pivotButton="0" quotePrefix="0" xfId="1">
      <alignment horizontal="center" vertical="center"/>
    </xf>
    <xf numFmtId="164" fontId="6" fillId="0" borderId="20" applyAlignment="1" pivotButton="0" quotePrefix="0" xfId="1">
      <alignment horizontal="center" vertical="center"/>
    </xf>
    <xf numFmtId="164" fontId="6" fillId="0" borderId="23" applyAlignment="1" pivotButton="0" quotePrefix="0" xfId="1">
      <alignment horizontal="center" vertical="center"/>
    </xf>
    <xf numFmtId="164" fontId="6" fillId="0" borderId="12" applyAlignment="1" pivotButton="0" quotePrefix="0" xfId="1">
      <alignment horizontal="center" vertical="center"/>
    </xf>
    <xf numFmtId="164" fontId="6" fillId="0" borderId="10" applyAlignment="1" pivotButton="0" quotePrefix="0" xfId="1">
      <alignment horizontal="center" vertical="center"/>
    </xf>
    <xf numFmtId="164" fontId="6" fillId="0" borderId="63" applyAlignment="1" pivotButton="0" quotePrefix="0" xfId="1">
      <alignment horizontal="center" vertical="center"/>
    </xf>
    <xf numFmtId="164" fontId="6" fillId="0" borderId="17" applyAlignment="1" pivotButton="0" quotePrefix="0" xfId="1">
      <alignment horizontal="center" vertical="center"/>
    </xf>
    <xf numFmtId="164" fontId="6" fillId="0" borderId="19" applyAlignment="1" pivotButton="0" quotePrefix="0" xfId="1">
      <alignment horizontal="center" vertical="center"/>
    </xf>
    <xf numFmtId="164" fontId="6" fillId="0" borderId="24" applyAlignment="1" pivotButton="0" quotePrefix="0" xfId="1">
      <alignment horizontal="center" vertical="center"/>
    </xf>
    <xf numFmtId="164" fontId="6" fillId="0" borderId="5" applyAlignment="1" pivotButton="0" quotePrefix="0" xfId="1">
      <alignment horizontal="center" vertical="center"/>
    </xf>
    <xf numFmtId="0" fontId="6" fillId="0" borderId="40" applyAlignment="1" pivotButton="0" quotePrefix="0" xfId="1">
      <alignment horizontal="center" vertical="center"/>
    </xf>
    <xf numFmtId="0" fontId="6" fillId="0" borderId="42" applyAlignment="1" pivotButton="0" quotePrefix="0" xfId="1">
      <alignment horizontal="center" vertical="center"/>
    </xf>
    <xf numFmtId="0" fontId="6" fillId="0" borderId="43" applyAlignment="1" pivotButton="0" quotePrefix="0" xfId="1">
      <alignment horizontal="center" vertical="center"/>
    </xf>
    <xf numFmtId="0" fontId="6" fillId="0" borderId="45" applyAlignment="1" pivotButton="0" quotePrefix="0" xfId="1">
      <alignment horizontal="center" vertical="center"/>
    </xf>
    <xf numFmtId="169" fontId="6" fillId="6" borderId="43" applyAlignment="1" pivotButton="0" quotePrefix="0" xfId="1">
      <alignment horizontal="center" vertical="center"/>
    </xf>
    <xf numFmtId="169" fontId="6" fillId="6" borderId="45" applyAlignment="1" pivotButton="0" quotePrefix="0" xfId="1">
      <alignment horizontal="center" vertical="center"/>
    </xf>
    <xf numFmtId="0" fontId="6" fillId="6" borderId="62" applyAlignment="1" pivotButton="0" quotePrefix="0" xfId="1">
      <alignment horizontal="center" vertical="center"/>
    </xf>
    <xf numFmtId="0" fontId="6" fillId="6" borderId="63" applyAlignment="1" pivotButton="0" quotePrefix="0" xfId="1">
      <alignment horizontal="center" vertical="center"/>
    </xf>
    <xf numFmtId="0" fontId="6" fillId="6" borderId="64" applyAlignment="1" pivotButton="0" quotePrefix="0" xfId="1">
      <alignment horizontal="center" vertical="center"/>
    </xf>
    <xf numFmtId="0" fontId="6" fillId="6" borderId="18" applyAlignment="1" pivotButton="0" quotePrefix="0" xfId="1">
      <alignment horizontal="center" vertical="center"/>
    </xf>
    <xf numFmtId="0" fontId="6" fillId="6" borderId="42" applyAlignment="1" pivotButton="0" quotePrefix="0" xfId="1">
      <alignment horizontal="center" vertical="center"/>
    </xf>
    <xf numFmtId="0" fontId="6" fillId="6" borderId="45" applyAlignment="1" pivotButton="0" quotePrefix="0" xfId="1">
      <alignment horizontal="center" vertical="center"/>
    </xf>
    <xf numFmtId="0" fontId="13" fillId="0" borderId="84" applyAlignment="1" pivotButton="0" quotePrefix="0" xfId="1">
      <alignment horizontal="center" vertical="center"/>
    </xf>
    <xf numFmtId="0" fontId="13" fillId="0" borderId="86" applyAlignment="1" pivotButton="0" quotePrefix="0" xfId="1">
      <alignment horizontal="center" vertical="center"/>
    </xf>
    <xf numFmtId="0" fontId="13" fillId="0" borderId="85" applyAlignment="1" pivotButton="0" quotePrefix="0" xfId="1">
      <alignment horizontal="center" vertical="center" wrapText="1"/>
    </xf>
    <xf numFmtId="0" fontId="13" fillId="0" borderId="87" applyAlignment="1" pivotButton="0" quotePrefix="0" xfId="1">
      <alignment horizontal="center" vertical="center" wrapText="1"/>
    </xf>
    <xf numFmtId="164" fontId="6" fillId="0" borderId="61" applyAlignment="1" pivotButton="0" quotePrefix="0" xfId="1">
      <alignment horizontal="center" vertical="center"/>
    </xf>
    <xf numFmtId="164" fontId="6" fillId="0" borderId="74" applyAlignment="1" pivotButton="0" quotePrefix="0" xfId="1">
      <alignment horizontal="center" vertical="center"/>
    </xf>
    <xf numFmtId="164" fontId="6" fillId="0" borderId="55" applyAlignment="1" pivotButton="0" quotePrefix="0" xfId="1">
      <alignment horizontal="center" vertical="center"/>
    </xf>
    <xf numFmtId="164" fontId="6" fillId="0" borderId="18" applyAlignment="1" pivotButton="0" quotePrefix="0" xfId="1">
      <alignment horizontal="center" vertical="center"/>
    </xf>
    <xf numFmtId="0" fontId="6" fillId="0" borderId="41" applyAlignment="1" pivotButton="0" quotePrefix="0" xfId="1">
      <alignment horizontal="center" vertical="center"/>
    </xf>
    <xf numFmtId="0" fontId="6" fillId="0" borderId="44" applyAlignment="1" pivotButton="0" quotePrefix="0" xfId="1">
      <alignment horizontal="center" vertical="center"/>
    </xf>
    <xf numFmtId="164" fontId="20" fillId="3" borderId="40" applyAlignment="1" pivotButton="0" quotePrefix="0" xfId="1">
      <alignment horizontal="center" vertical="center" wrapText="1"/>
    </xf>
    <xf numFmtId="164" fontId="20" fillId="3" borderId="63" applyAlignment="1" pivotButton="0" quotePrefix="0" xfId="1">
      <alignment horizontal="center" vertical="center" wrapText="1"/>
    </xf>
    <xf numFmtId="164" fontId="20" fillId="3" borderId="57" applyAlignment="1" pivotButton="0" quotePrefix="0" xfId="1">
      <alignment horizontal="center" vertical="center" wrapText="1"/>
    </xf>
    <xf numFmtId="164" fontId="20" fillId="3" borderId="24" applyAlignment="1" pivotButton="0" quotePrefix="0" xfId="1">
      <alignment horizontal="center" vertical="center" wrapText="1"/>
    </xf>
    <xf numFmtId="164" fontId="20" fillId="3" borderId="43" applyAlignment="1" pivotButton="0" quotePrefix="0" xfId="1">
      <alignment horizontal="center" vertical="center" wrapText="1"/>
    </xf>
    <xf numFmtId="164" fontId="20" fillId="3" borderId="18" applyAlignment="1" pivotButton="0" quotePrefix="0" xfId="1">
      <alignment horizontal="center" vertical="center" wrapText="1"/>
    </xf>
    <xf numFmtId="164" fontId="6" fillId="0" borderId="56" applyAlignment="1" pivotButton="0" quotePrefix="0" xfId="1">
      <alignment horizontal="center" vertical="center"/>
    </xf>
    <xf numFmtId="164" fontId="6" fillId="0" borderId="71" applyAlignment="1" pivotButton="0" quotePrefix="0" xfId="1">
      <alignment horizontal="center" vertical="center"/>
    </xf>
    <xf numFmtId="164" fontId="6" fillId="0" borderId="43" applyAlignment="1" pivotButton="0" quotePrefix="0" xfId="1">
      <alignment horizontal="center" vertical="center"/>
    </xf>
    <xf numFmtId="164" fontId="6" fillId="0" borderId="45" applyAlignment="1" pivotButton="0" quotePrefix="0" xfId="1">
      <alignment horizontal="center" vertical="center"/>
    </xf>
    <xf numFmtId="164" fontId="6" fillId="0" borderId="19" applyAlignment="1" pivotButton="0" quotePrefix="0" xfId="1">
      <alignment horizontal="center" vertical="center" textRotation="255"/>
    </xf>
    <xf numFmtId="164" fontId="6" fillId="0" borderId="20" applyAlignment="1" pivotButton="0" quotePrefix="0" xfId="1">
      <alignment horizontal="center" vertical="center" textRotation="255"/>
    </xf>
    <xf numFmtId="164" fontId="6" fillId="0" borderId="21" applyAlignment="1" pivotButton="0" quotePrefix="0" xfId="1">
      <alignment horizontal="center" vertical="center" textRotation="255"/>
    </xf>
    <xf numFmtId="164" fontId="6" fillId="0" borderId="22" applyAlignment="1" pivotButton="0" quotePrefix="0" xfId="1">
      <alignment horizontal="center" vertical="center" textRotation="255"/>
    </xf>
    <xf numFmtId="164" fontId="6" fillId="0" borderId="23" applyAlignment="1" pivotButton="0" quotePrefix="0" xfId="1">
      <alignment horizontal="center" vertical="center" textRotation="255"/>
    </xf>
    <xf numFmtId="164" fontId="6" fillId="0" borderId="59" applyAlignment="1" pivotButton="0" quotePrefix="0" xfId="1">
      <alignment horizontal="center" vertical="center"/>
    </xf>
    <xf numFmtId="164" fontId="6" fillId="0" borderId="70" applyAlignment="1" pivotButton="0" quotePrefix="0" xfId="1">
      <alignment horizontal="center" vertical="center"/>
    </xf>
    <xf numFmtId="164" fontId="6" fillId="0" borderId="40" applyAlignment="1" pivotButton="0" quotePrefix="0" xfId="1">
      <alignment horizontal="center" vertical="center"/>
    </xf>
    <xf numFmtId="164" fontId="6" fillId="0" borderId="42" applyAlignment="1" pivotButton="0" quotePrefix="0" xfId="1">
      <alignment horizontal="center" vertical="center"/>
    </xf>
    <xf numFmtId="164" fontId="6" fillId="0" borderId="71" applyAlignment="1" pivotButton="0" quotePrefix="0" xfId="1">
      <alignment horizontal="center" vertical="center" textRotation="255"/>
    </xf>
    <xf numFmtId="164" fontId="6" fillId="0" borderId="58" applyAlignment="1" pivotButton="0" quotePrefix="0" xfId="1">
      <alignment horizontal="center" vertical="center" textRotation="255"/>
    </xf>
    <xf numFmtId="164" fontId="6" fillId="0" borderId="45" applyAlignment="1" pivotButton="0" quotePrefix="0" xfId="1">
      <alignment horizontal="center" vertical="center" textRotation="255"/>
    </xf>
    <xf numFmtId="164" fontId="6" fillId="3" borderId="0" applyAlignment="1" pivotButton="0" quotePrefix="0" xfId="1">
      <alignment vertical="center"/>
    </xf>
    <xf numFmtId="0" fontId="0" fillId="0" borderId="0" pivotButton="0" quotePrefix="0" xfId="0"/>
    <xf numFmtId="164" fontId="11" fillId="3" borderId="0" applyAlignment="1" pivotButton="0" quotePrefix="0" xfId="1">
      <alignment horizontal="right" vertical="center"/>
    </xf>
    <xf numFmtId="164" fontId="6" fillId="2" borderId="76" applyAlignment="1" applyProtection="1" pivotButton="0" quotePrefix="0" xfId="1">
      <alignment horizontal="left" vertical="center"/>
      <protection locked="0" hidden="0"/>
    </xf>
    <xf numFmtId="164" fontId="23" fillId="3" borderId="0" applyAlignment="1" pivotButton="0" quotePrefix="0" xfId="1">
      <alignment vertical="center"/>
    </xf>
    <xf numFmtId="164" fontId="6" fillId="0" borderId="0" applyAlignment="1" pivotButton="0" quotePrefix="0" xfId="1">
      <alignment vertical="center"/>
    </xf>
    <xf numFmtId="0" fontId="7" fillId="0" borderId="93" applyAlignment="1" pivotButton="0" quotePrefix="0" xfId="1">
      <alignment horizontal="center" vertical="center"/>
    </xf>
    <xf numFmtId="0" fontId="0" fillId="0" borderId="41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44" pivotButton="0" quotePrefix="0" xfId="0"/>
    <xf numFmtId="0" fontId="0" fillId="0" borderId="45" pivotButton="0" quotePrefix="0" xfId="0"/>
    <xf numFmtId="0" fontId="6" fillId="0" borderId="93" applyAlignment="1" pivotButton="0" quotePrefix="0" xfId="1">
      <alignment horizontal="center" vertical="center"/>
    </xf>
    <xf numFmtId="0" fontId="6" fillId="6" borderId="77" applyAlignment="1" pivotButton="0" quotePrefix="0" xfId="1">
      <alignment horizontal="center" vertical="center"/>
    </xf>
    <xf numFmtId="0" fontId="0" fillId="0" borderId="63" pivotButton="0" quotePrefix="0" xfId="0"/>
    <xf numFmtId="0" fontId="6" fillId="6" borderId="78" applyAlignment="1" pivotButton="0" quotePrefix="0" xfId="1">
      <alignment horizontal="center" vertical="center"/>
    </xf>
    <xf numFmtId="0" fontId="6" fillId="0" borderId="19" applyAlignment="1" pivotButton="0" quotePrefix="0" xfId="1">
      <alignment horizontal="center" vertical="center"/>
    </xf>
    <xf numFmtId="169" fontId="6" fillId="6" borderId="23" applyAlignment="1" pivotButton="0" quotePrefix="0" xfId="1">
      <alignment horizontal="center" vertical="center"/>
    </xf>
    <xf numFmtId="0" fontId="0" fillId="0" borderId="64" pivotButton="0" quotePrefix="0" xfId="0"/>
    <xf numFmtId="0" fontId="0" fillId="0" borderId="18" pivotButton="0" quotePrefix="0" xfId="0"/>
    <xf numFmtId="0" fontId="0" fillId="0" borderId="86" pivotButton="0" quotePrefix="0" xfId="0"/>
    <xf numFmtId="0" fontId="0" fillId="0" borderId="87" pivotButton="0" quotePrefix="0" xfId="0"/>
    <xf numFmtId="0" fontId="6" fillId="0" borderId="23" applyAlignment="1" pivotButton="0" quotePrefix="0" xfId="1">
      <alignment horizontal="center" vertical="center"/>
    </xf>
    <xf numFmtId="164" fontId="6" fillId="0" borderId="93" applyAlignment="1" pivotButton="0" quotePrefix="0" xfId="1">
      <alignment horizontal="center" vertical="center"/>
    </xf>
    <xf numFmtId="164" fontId="6" fillId="0" borderId="16" applyAlignment="1" pivotButton="0" quotePrefix="0" xfId="1">
      <alignment horizontal="center" vertical="center"/>
    </xf>
    <xf numFmtId="164" fontId="6" fillId="0" borderId="28" applyAlignment="1" pivotButton="0" quotePrefix="0" xfId="1">
      <alignment vertical="center"/>
    </xf>
    <xf numFmtId="164" fontId="6" fillId="7" borderId="48" applyAlignment="1" applyProtection="1" pivotButton="0" quotePrefix="0" xfId="1">
      <alignment vertical="center" shrinkToFit="1"/>
      <protection locked="0" hidden="0"/>
    </xf>
    <xf numFmtId="164" fontId="8" fillId="6" borderId="7" applyAlignment="1" pivotButton="0" quotePrefix="0" xfId="1">
      <alignment vertical="center"/>
    </xf>
    <xf numFmtId="164" fontId="6" fillId="6" borderId="6" applyAlignment="1" pivotButton="0" quotePrefix="0" xfId="1">
      <alignment vertical="center"/>
    </xf>
    <xf numFmtId="164" fontId="8" fillId="6" borderId="30" applyAlignment="1" pivotButton="0" quotePrefix="0" xfId="1">
      <alignment vertical="center"/>
    </xf>
    <xf numFmtId="164" fontId="8" fillId="0" borderId="0" applyAlignment="1" pivotButton="0" quotePrefix="0" xfId="1">
      <alignment vertical="center"/>
    </xf>
    <xf numFmtId="164" fontId="6" fillId="0" borderId="86" applyAlignment="1" pivotButton="0" quotePrefix="0" xfId="1">
      <alignment vertical="center"/>
    </xf>
    <xf numFmtId="166" fontId="22" fillId="0" borderId="87" applyAlignment="1" pivotButton="0" quotePrefix="0" xfId="1">
      <alignment horizontal="center" vertical="center"/>
    </xf>
    <xf numFmtId="166" fontId="22" fillId="0" borderId="0" applyAlignment="1" pivotButton="0" quotePrefix="0" xfId="1">
      <alignment horizontal="center" vertical="center"/>
    </xf>
    <xf numFmtId="164" fontId="6" fillId="4" borderId="28" applyAlignment="1" pivotButton="0" quotePrefix="0" xfId="1">
      <alignment horizontal="center" vertical="center"/>
    </xf>
    <xf numFmtId="164" fontId="6" fillId="0" borderId="94" applyAlignment="1" pivotButton="0" quotePrefix="0" xfId="1">
      <alignment horizontal="center" vertical="center" textRotation="255"/>
    </xf>
    <xf numFmtId="164" fontId="6" fillId="2" borderId="72" applyAlignment="1" applyProtection="1" pivotButton="0" quotePrefix="0" xfId="1">
      <alignment vertical="center"/>
      <protection locked="0" hidden="0"/>
    </xf>
    <xf numFmtId="0" fontId="0" fillId="0" borderId="20" pivotButton="0" quotePrefix="0" xfId="0"/>
    <xf numFmtId="164" fontId="6" fillId="0" borderId="2" applyAlignment="1" pivotButton="0" quotePrefix="0" xfId="1">
      <alignment horizontal="center" vertical="center"/>
    </xf>
    <xf numFmtId="164" fontId="6" fillId="0" borderId="35" applyAlignment="1" pivotButton="0" quotePrefix="0" xfId="1">
      <alignment vertical="center"/>
    </xf>
    <xf numFmtId="164" fontId="6" fillId="6" borderId="50" applyAlignment="1" pivotButton="0" quotePrefix="0" xfId="1">
      <alignment vertical="center" shrinkToFit="1"/>
    </xf>
    <xf numFmtId="164" fontId="8" fillId="6" borderId="8" applyAlignment="1" pivotButton="0" quotePrefix="0" xfId="1">
      <alignment vertical="center"/>
    </xf>
    <xf numFmtId="164" fontId="6" fillId="6" borderId="1" applyAlignment="1" pivotButton="0" quotePrefix="0" xfId="1">
      <alignment vertical="center"/>
    </xf>
    <xf numFmtId="164" fontId="8" fillId="6" borderId="27" applyAlignment="1" pivotButton="0" quotePrefix="0" xfId="1">
      <alignment vertical="center"/>
    </xf>
    <xf numFmtId="164" fontId="6" fillId="0" borderId="50" applyAlignment="1" pivotButton="0" quotePrefix="0" xfId="1">
      <alignment vertical="center"/>
    </xf>
    <xf numFmtId="164" fontId="6" fillId="0" borderId="35" applyAlignment="1" pivotButton="0" quotePrefix="0" xfId="1">
      <alignment horizontal="center" vertical="center"/>
    </xf>
    <xf numFmtId="164" fontId="6" fillId="2" borderId="73" applyAlignment="1" applyProtection="1" pivotButton="0" quotePrefix="0" xfId="1">
      <alignment vertical="center"/>
      <protection locked="0" hidden="0"/>
    </xf>
    <xf numFmtId="164" fontId="6" fillId="0" borderId="60" applyAlignment="1" pivotButton="0" quotePrefix="0" xfId="1">
      <alignment horizontal="center" vertical="center"/>
    </xf>
    <xf numFmtId="164" fontId="6" fillId="0" borderId="36" applyAlignment="1" pivotButton="0" quotePrefix="0" xfId="1">
      <alignment vertical="center"/>
    </xf>
    <xf numFmtId="164" fontId="6" fillId="6" borderId="51" applyAlignment="1" pivotButton="0" quotePrefix="0" xfId="1">
      <alignment vertical="center" shrinkToFit="1"/>
    </xf>
    <xf numFmtId="164" fontId="8" fillId="6" borderId="9" applyAlignment="1" pivotButton="0" quotePrefix="0" xfId="1">
      <alignment vertical="center"/>
    </xf>
    <xf numFmtId="164" fontId="6" fillId="6" borderId="3" applyAlignment="1" pivotButton="0" quotePrefix="0" xfId="1">
      <alignment vertical="center"/>
    </xf>
    <xf numFmtId="164" fontId="8" fillId="6" borderId="31" applyAlignment="1" pivotButton="0" quotePrefix="0" xfId="1">
      <alignment vertical="center"/>
    </xf>
    <xf numFmtId="164" fontId="13" fillId="0" borderId="86" applyAlignment="1" pivotButton="0" quotePrefix="1" xfId="1">
      <alignment horizontal="right" vertical="center" shrinkToFit="1"/>
    </xf>
    <xf numFmtId="164" fontId="6" fillId="0" borderId="51" applyAlignment="1" pivotButton="0" quotePrefix="0" xfId="1">
      <alignment vertical="center"/>
    </xf>
    <xf numFmtId="164" fontId="6" fillId="0" borderId="36" applyAlignment="1" pivotButton="0" quotePrefix="0" xfId="1">
      <alignment horizontal="center" vertical="center"/>
    </xf>
    <xf numFmtId="0" fontId="0" fillId="0" borderId="21" pivotButton="0" quotePrefix="0" xfId="0"/>
    <xf numFmtId="0" fontId="0" fillId="0" borderId="10" pivotButton="0" quotePrefix="0" xfId="0"/>
    <xf numFmtId="164" fontId="6" fillId="0" borderId="39" applyAlignment="1" pivotButton="0" quotePrefix="0" xfId="1">
      <alignment vertical="center"/>
    </xf>
    <xf numFmtId="166" fontId="6" fillId="7" borderId="54" applyAlignment="1" applyProtection="1" pivotButton="0" quotePrefix="0" xfId="1">
      <alignment vertical="center" shrinkToFit="1"/>
      <protection locked="0" hidden="0"/>
    </xf>
    <xf numFmtId="164" fontId="8" fillId="6" borderId="11" applyAlignment="1" pivotButton="0" quotePrefix="1" xfId="1">
      <alignment vertical="center"/>
    </xf>
    <xf numFmtId="166" fontId="6" fillId="6" borderId="4" applyAlignment="1" pivotButton="0" quotePrefix="0" xfId="1">
      <alignment vertical="center"/>
    </xf>
    <xf numFmtId="164" fontId="8" fillId="6" borderId="34" applyAlignment="1" pivotButton="0" quotePrefix="1" xfId="1">
      <alignment vertical="center"/>
    </xf>
    <xf numFmtId="164" fontId="8" fillId="0" borderId="0" applyAlignment="1" pivotButton="0" quotePrefix="1" xfId="1">
      <alignment vertical="center"/>
    </xf>
    <xf numFmtId="164" fontId="15" fillId="0" borderId="86" applyAlignment="1" pivotButton="0" quotePrefix="0" xfId="1">
      <alignment horizontal="right" vertical="top"/>
    </xf>
    <xf numFmtId="166" fontId="22" fillId="0" borderId="87" applyAlignment="1" pivotButton="0" quotePrefix="0" xfId="1">
      <alignment horizontal="center" vertical="top"/>
    </xf>
    <xf numFmtId="166" fontId="22" fillId="0" borderId="0" applyAlignment="1" pivotButton="0" quotePrefix="0" xfId="1">
      <alignment horizontal="center" vertical="top"/>
    </xf>
    <xf numFmtId="164" fontId="6" fillId="0" borderId="54" applyAlignment="1" pivotButton="0" quotePrefix="1" xfId="1">
      <alignment vertical="center"/>
    </xf>
    <xf numFmtId="164" fontId="6" fillId="0" borderId="39" applyAlignment="1" pivotButton="0" quotePrefix="1" xfId="1">
      <alignment horizontal="center" vertical="center"/>
    </xf>
    <xf numFmtId="164" fontId="6" fillId="0" borderId="91" applyAlignment="1" pivotButton="0" quotePrefix="0" xfId="1">
      <alignment horizontal="center" vertical="center" textRotation="255"/>
    </xf>
    <xf numFmtId="164" fontId="6" fillId="0" borderId="18" applyAlignment="1" pivotButton="0" quotePrefix="0" xfId="1">
      <alignment horizontal="center" vertical="center"/>
    </xf>
    <xf numFmtId="164" fontId="6" fillId="0" borderId="38" applyAlignment="1" pivotButton="0" quotePrefix="0" xfId="1">
      <alignment vertical="center"/>
    </xf>
    <xf numFmtId="164" fontId="6" fillId="6" borderId="53" applyAlignment="1" applyProtection="1" pivotButton="0" quotePrefix="0" xfId="1">
      <alignment vertical="center" shrinkToFit="1"/>
      <protection locked="0" hidden="0"/>
    </xf>
    <xf numFmtId="164" fontId="8" fillId="6" borderId="26" applyAlignment="1" pivotButton="0" quotePrefix="0" xfId="1">
      <alignment vertical="center"/>
    </xf>
    <xf numFmtId="164" fontId="6" fillId="6" borderId="25" applyAlignment="1" pivotButton="0" quotePrefix="0" xfId="1">
      <alignment vertical="center"/>
    </xf>
    <xf numFmtId="164" fontId="8" fillId="6" borderId="33" applyAlignment="1" pivotButton="0" quotePrefix="0" xfId="1">
      <alignment vertical="center"/>
    </xf>
    <xf numFmtId="164" fontId="6" fillId="0" borderId="53" applyAlignment="1" pivotButton="0" quotePrefix="0" xfId="1">
      <alignment vertical="center"/>
    </xf>
    <xf numFmtId="164" fontId="6" fillId="0" borderId="38" applyAlignment="1" pivotButton="0" quotePrefix="0" xfId="1">
      <alignment horizontal="center" vertical="center"/>
    </xf>
    <xf numFmtId="0" fontId="0" fillId="0" borderId="23" pivotButton="0" quotePrefix="0" xfId="0"/>
    <xf numFmtId="164" fontId="6" fillId="0" borderId="37" applyAlignment="1" pivotButton="0" quotePrefix="0" xfId="1">
      <alignment vertical="center"/>
    </xf>
    <xf numFmtId="164" fontId="6" fillId="6" borderId="52" applyAlignment="1" applyProtection="1" pivotButton="0" quotePrefix="0" xfId="1">
      <alignment vertical="center" shrinkToFit="1"/>
      <protection locked="0" hidden="0"/>
    </xf>
    <xf numFmtId="164" fontId="8" fillId="6" borderId="15" applyAlignment="1" pivotButton="0" quotePrefix="1" xfId="1">
      <alignment vertical="center"/>
    </xf>
    <xf numFmtId="164" fontId="6" fillId="6" borderId="14" applyAlignment="1" pivotButton="0" quotePrefix="0" xfId="1">
      <alignment vertical="center"/>
    </xf>
    <xf numFmtId="164" fontId="8" fillId="6" borderId="32" applyAlignment="1" pivotButton="0" quotePrefix="1" xfId="1">
      <alignment vertical="center"/>
    </xf>
    <xf numFmtId="164" fontId="6" fillId="0" borderId="52" applyAlignment="1" pivotButton="0" quotePrefix="1" xfId="1">
      <alignment vertical="center"/>
    </xf>
    <xf numFmtId="164" fontId="6" fillId="0" borderId="37" applyAlignment="1" pivotButton="0" quotePrefix="1" xfId="1">
      <alignment horizontal="center" vertical="center"/>
    </xf>
    <xf numFmtId="164" fontId="6" fillId="2" borderId="46" applyAlignment="1" applyProtection="1" pivotButton="0" quotePrefix="0" xfId="1">
      <alignment vertical="center"/>
      <protection locked="0" hidden="0"/>
    </xf>
    <xf numFmtId="164" fontId="6" fillId="0" borderId="65" applyAlignment="1" pivotButton="0" quotePrefix="0" xfId="1">
      <alignment vertical="center"/>
    </xf>
    <xf numFmtId="164" fontId="6" fillId="7" borderId="66" applyAlignment="1" applyProtection="1" pivotButton="0" quotePrefix="0" xfId="1">
      <alignment vertical="center" shrinkToFit="1"/>
      <protection locked="0" hidden="0"/>
    </xf>
    <xf numFmtId="164" fontId="8" fillId="6" borderId="67" applyAlignment="1" pivotButton="0" quotePrefix="0" xfId="1">
      <alignment vertical="center"/>
    </xf>
    <xf numFmtId="164" fontId="6" fillId="6" borderId="69" applyAlignment="1" pivotButton="0" quotePrefix="0" xfId="1">
      <alignment vertical="center"/>
    </xf>
    <xf numFmtId="164" fontId="8" fillId="6" borderId="68" applyAlignment="1" pivotButton="0" quotePrefix="0" xfId="1">
      <alignment vertical="center"/>
    </xf>
    <xf numFmtId="166" fontId="22" fillId="0" borderId="87" applyAlignment="1" pivotButton="0" quotePrefix="1" xfId="1">
      <alignment horizontal="center" vertical="center" shrinkToFit="1"/>
    </xf>
    <xf numFmtId="166" fontId="22" fillId="0" borderId="0" applyAlignment="1" pivotButton="0" quotePrefix="1" xfId="1">
      <alignment horizontal="center" vertical="center" shrinkToFit="1"/>
    </xf>
    <xf numFmtId="164" fontId="6" fillId="0" borderId="23" applyAlignment="1" pivotButton="0" quotePrefix="0" xfId="1">
      <alignment horizontal="center" vertical="center"/>
    </xf>
    <xf numFmtId="164" fontId="6" fillId="2" borderId="47" applyAlignment="1" applyProtection="1" pivotButton="0" quotePrefix="0" xfId="1">
      <alignment vertical="center"/>
      <protection locked="0" hidden="0"/>
    </xf>
    <xf numFmtId="0" fontId="0" fillId="0" borderId="17" pivotButton="0" quotePrefix="0" xfId="0"/>
    <xf numFmtId="167" fontId="6" fillId="6" borderId="54" applyAlignment="1" pivotButton="0" quotePrefix="0" xfId="1">
      <alignment vertical="center" shrinkToFit="1"/>
    </xf>
    <xf numFmtId="167" fontId="6" fillId="6" borderId="4" applyAlignment="1" pivotButton="0" quotePrefix="0" xfId="1">
      <alignment vertical="center"/>
    </xf>
    <xf numFmtId="165" fontId="22" fillId="0" borderId="87" applyAlignment="1" pivotButton="0" quotePrefix="1" xfId="2">
      <alignment horizontal="center" vertical="center" shrinkToFit="1"/>
    </xf>
    <xf numFmtId="165" fontId="22" fillId="0" borderId="0" applyAlignment="1" pivotButton="0" quotePrefix="1" xfId="2">
      <alignment horizontal="center" vertical="center" shrinkToFit="1"/>
    </xf>
    <xf numFmtId="165" fontId="6" fillId="4" borderId="54" applyAlignment="1" pivotButton="0" quotePrefix="1" xfId="1">
      <alignment horizontal="center" vertical="center"/>
    </xf>
    <xf numFmtId="164" fontId="6" fillId="4" borderId="39" applyAlignment="1" pivotButton="0" quotePrefix="1" xfId="1">
      <alignment horizontal="center" vertical="center"/>
    </xf>
    <xf numFmtId="164" fontId="6" fillId="3" borderId="0" applyAlignment="1" pivotButton="0" quotePrefix="0" xfId="1">
      <alignment horizontal="center" vertical="center"/>
    </xf>
    <xf numFmtId="164" fontId="6" fillId="7" borderId="53" applyAlignment="1" applyProtection="1" pivotButton="0" quotePrefix="0" xfId="1">
      <alignment vertical="center" shrinkToFit="1"/>
      <protection locked="0" hidden="0"/>
    </xf>
    <xf numFmtId="165" fontId="22" fillId="0" borderId="87" applyAlignment="1" pivotButton="0" quotePrefix="0" xfId="2">
      <alignment horizontal="center" vertical="center"/>
    </xf>
    <xf numFmtId="165" fontId="22" fillId="0" borderId="0" applyAlignment="1" pivotButton="0" quotePrefix="0" xfId="2">
      <alignment horizontal="center" vertical="center"/>
    </xf>
    <xf numFmtId="164" fontId="6" fillId="4" borderId="54" applyAlignment="1" pivotButton="0" quotePrefix="1" xfId="1">
      <alignment horizontal="center" vertical="center"/>
    </xf>
    <xf numFmtId="164" fontId="6" fillId="0" borderId="96" applyAlignment="1" pivotButton="0" quotePrefix="0" xfId="1">
      <alignment horizontal="center" vertical="center"/>
    </xf>
    <xf numFmtId="167" fontId="6" fillId="6" borderId="52" applyAlignment="1" pivotButton="0" quotePrefix="0" xfId="1">
      <alignment vertical="center" shrinkToFit="1"/>
    </xf>
    <xf numFmtId="167" fontId="6" fillId="6" borderId="14" applyAlignment="1" pivotButton="0" quotePrefix="0" xfId="1">
      <alignment vertical="center"/>
    </xf>
    <xf numFmtId="164" fontId="6" fillId="0" borderId="49" applyAlignment="1" pivotButton="0" quotePrefix="1" xfId="1">
      <alignment vertical="center"/>
    </xf>
    <xf numFmtId="164" fontId="6" fillId="0" borderId="29" applyAlignment="1" pivotButton="0" quotePrefix="1" xfId="1">
      <alignment horizontal="center" vertical="center"/>
    </xf>
    <xf numFmtId="164" fontId="6" fillId="0" borderId="17" applyAlignment="1" pivotButton="0" quotePrefix="0" xfId="1">
      <alignment horizontal="center" vertical="center"/>
    </xf>
    <xf numFmtId="164" fontId="6" fillId="6" borderId="54" applyAlignment="1" pivotButton="0" quotePrefix="0" xfId="1">
      <alignment vertical="center" shrinkToFit="1"/>
    </xf>
    <xf numFmtId="164" fontId="6" fillId="6" borderId="4" applyAlignment="1" pivotButton="0" quotePrefix="0" xfId="1">
      <alignment vertical="center"/>
    </xf>
    <xf numFmtId="164" fontId="6" fillId="0" borderId="54" applyAlignment="1" pivotButton="0" quotePrefix="1" xfId="1">
      <alignment horizontal="center" vertical="center"/>
    </xf>
    <xf numFmtId="164" fontId="6" fillId="7" borderId="51" applyAlignment="1" applyProtection="1" pivotButton="0" quotePrefix="0" xfId="1">
      <alignment vertical="center" shrinkToFit="1"/>
      <protection locked="0" hidden="0"/>
    </xf>
    <xf numFmtId="164" fontId="15" fillId="0" borderId="86" applyAlignment="1" pivotButton="0" quotePrefix="1" xfId="1">
      <alignment horizontal="right" shrinkToFit="1"/>
    </xf>
    <xf numFmtId="166" fontId="22" fillId="0" borderId="87" applyAlignment="1" pivotButton="0" quotePrefix="1" xfId="1">
      <alignment horizontal="center" shrinkToFit="1"/>
    </xf>
    <xf numFmtId="166" fontId="22" fillId="0" borderId="0" applyAlignment="1" pivotButton="0" quotePrefix="1" xfId="1">
      <alignment horizontal="center" shrinkToFit="1"/>
    </xf>
    <xf numFmtId="164" fontId="15" fillId="0" borderId="86" applyAlignment="1" pivotButton="0" quotePrefix="1" xfId="1">
      <alignment horizontal="right" vertical="top" shrinkToFit="1"/>
    </xf>
    <xf numFmtId="166" fontId="22" fillId="0" borderId="87" applyAlignment="1" pivotButton="0" quotePrefix="1" xfId="1">
      <alignment horizontal="center" vertical="top" shrinkToFit="1"/>
    </xf>
    <xf numFmtId="166" fontId="22" fillId="0" borderId="0" applyAlignment="1" pivotButton="0" quotePrefix="1" xfId="1">
      <alignment horizontal="center" vertical="top" shrinkToFit="1"/>
    </xf>
    <xf numFmtId="164" fontId="6" fillId="0" borderId="50" applyAlignment="1" pivotButton="0" quotePrefix="1" xfId="1">
      <alignment vertical="center"/>
    </xf>
    <xf numFmtId="164" fontId="6" fillId="0" borderId="35" applyAlignment="1" pivotButton="0" quotePrefix="1" xfId="1">
      <alignment horizontal="center" vertical="center"/>
    </xf>
    <xf numFmtId="164" fontId="6" fillId="4" borderId="59" applyAlignment="1" pivotButton="0" quotePrefix="1" xfId="1">
      <alignment horizontal="center" vertical="center"/>
    </xf>
    <xf numFmtId="164" fontId="6" fillId="0" borderId="13" applyAlignment="1" pivotButton="0" quotePrefix="0" xfId="1">
      <alignment horizontal="center" vertical="center"/>
    </xf>
    <xf numFmtId="164" fontId="6" fillId="7" borderId="52" applyAlignment="1" applyProtection="1" pivotButton="0" quotePrefix="0" xfId="1">
      <alignment horizontal="right" vertical="center" shrinkToFit="1"/>
      <protection locked="0" hidden="0"/>
    </xf>
    <xf numFmtId="164" fontId="6" fillId="6" borderId="14" applyAlignment="1" pivotButton="0" quotePrefix="0" xfId="1">
      <alignment horizontal="right" vertical="center"/>
    </xf>
    <xf numFmtId="164" fontId="6" fillId="0" borderId="88" applyAlignment="1" pivotButton="0" quotePrefix="0" xfId="1">
      <alignment vertical="center"/>
    </xf>
    <xf numFmtId="166" fontId="22" fillId="0" borderId="89" applyAlignment="1" pivotButton="0" quotePrefix="0" xfId="1">
      <alignment horizontal="center" vertical="center"/>
    </xf>
    <xf numFmtId="164" fontId="6" fillId="4" borderId="52" applyAlignment="1" pivotButton="0" quotePrefix="1" xfId="1">
      <alignment horizontal="center" vertical="center"/>
    </xf>
    <xf numFmtId="164" fontId="6" fillId="4" borderId="37" applyAlignment="1" pivotButton="0" quotePrefix="1" xfId="1">
      <alignment horizontal="center" vertical="center"/>
    </xf>
    <xf numFmtId="164" fontId="16" fillId="0" borderId="0" applyAlignment="1" pivotButton="0" quotePrefix="0" xfId="1">
      <alignment vertical="center"/>
    </xf>
    <xf numFmtId="164" fontId="15" fillId="0" borderId="0" applyAlignment="1" pivotButton="0" quotePrefix="0" xfId="1">
      <alignment vertical="center"/>
    </xf>
    <xf numFmtId="164" fontId="20" fillId="3" borderId="97" applyAlignment="1" pivotButton="0" quotePrefix="0" xfId="1">
      <alignment horizontal="center" vertical="center" wrapText="1"/>
    </xf>
    <xf numFmtId="164" fontId="21" fillId="3" borderId="77" applyAlignment="1" pivotButton="0" quotePrefix="0" xfId="1">
      <alignment horizontal="center" vertical="center"/>
    </xf>
    <xf numFmtId="164" fontId="21" fillId="3" borderId="78" applyAlignment="1" pivotButton="0" quotePrefix="0" xfId="1">
      <alignment horizontal="center" vertical="center"/>
    </xf>
    <xf numFmtId="164" fontId="21" fillId="5" borderId="0" applyAlignment="1" pivotButton="0" quotePrefix="0" xfId="1">
      <alignment vertical="center"/>
    </xf>
    <xf numFmtId="164" fontId="20" fillId="3" borderId="78" applyAlignment="1" pivotButton="0" quotePrefix="0" xfId="1">
      <alignment vertical="center"/>
    </xf>
    <xf numFmtId="164" fontId="6" fillId="0" borderId="93" applyAlignment="1" pivotButton="0" quotePrefix="0" xfId="1">
      <alignment horizontal="center" vertical="center" textRotation="255"/>
    </xf>
    <xf numFmtId="164" fontId="6" fillId="0" borderId="82" applyAlignment="1" pivotButton="0" quotePrefix="0" xfId="1">
      <alignment horizontal="center" vertical="center" textRotation="255"/>
    </xf>
    <xf numFmtId="0" fontId="0" fillId="0" borderId="57" pivotButton="0" quotePrefix="0" xfId="0"/>
    <xf numFmtId="0" fontId="0" fillId="0" borderId="24" pivotButton="0" quotePrefix="0" xfId="0"/>
    <xf numFmtId="0" fontId="0" fillId="0" borderId="58" pivotButton="0" quotePrefix="0" xfId="0"/>
    <xf numFmtId="0" fontId="0" fillId="0" borderId="74" pivotButton="0" quotePrefix="0" xfId="0"/>
    <xf numFmtId="0" fontId="0" fillId="0" borderId="55" pivotButton="0" quotePrefix="0" xfId="0"/>
    <xf numFmtId="164" fontId="6" fillId="5" borderId="0" applyAlignment="1" pivotButton="0" quotePrefix="0" xfId="1">
      <alignment horizontal="center" vertical="center"/>
    </xf>
    <xf numFmtId="164" fontId="6" fillId="0" borderId="61" applyAlignment="1" pivotButton="0" quotePrefix="0" xfId="1">
      <alignment horizontal="center" vertical="center"/>
    </xf>
    <xf numFmtId="164" fontId="6" fillId="0" borderId="55" applyAlignment="1" pivotButton="0" quotePrefix="0" xfId="1">
      <alignment vertical="center"/>
    </xf>
    <xf numFmtId="164" fontId="6" fillId="0" borderId="94" applyAlignment="1" pivotButton="0" quotePrefix="0" xfId="1">
      <alignment horizontal="center" vertical="center"/>
    </xf>
    <xf numFmtId="168" fontId="6" fillId="2" borderId="19" applyAlignment="1" applyProtection="1" pivotButton="0" quotePrefix="1" xfId="1">
      <alignment vertical="center"/>
      <protection locked="0" hidden="0"/>
    </xf>
    <xf numFmtId="164" fontId="6" fillId="2" borderId="57" applyAlignment="1" applyProtection="1" pivotButton="0" quotePrefix="0" xfId="1">
      <alignment vertical="center"/>
      <protection locked="0" hidden="0"/>
    </xf>
    <xf numFmtId="164" fontId="6" fillId="2" borderId="0" applyAlignment="1" applyProtection="1" pivotButton="0" quotePrefix="0" xfId="1">
      <alignment vertical="center"/>
      <protection locked="0" hidden="0"/>
    </xf>
    <xf numFmtId="164" fontId="6" fillId="2" borderId="58" applyAlignment="1" applyProtection="1" pivotButton="0" quotePrefix="0" xfId="1">
      <alignment vertical="center"/>
      <protection locked="0" hidden="0"/>
    </xf>
    <xf numFmtId="164" fontId="6" fillId="5" borderId="0" applyAlignment="1" pivotButton="0" quotePrefix="0" xfId="1">
      <alignment vertical="center"/>
    </xf>
    <xf numFmtId="0" fontId="0" fillId="0" borderId="59" pivotButton="0" quotePrefix="0" xfId="0"/>
    <xf numFmtId="0" fontId="0" fillId="0" borderId="70" pivotButton="0" quotePrefix="0" xfId="0"/>
    <xf numFmtId="168" fontId="6" fillId="2" borderId="21" applyAlignment="1" applyProtection="1" pivotButton="0" quotePrefix="1" xfId="1">
      <alignment vertical="center"/>
      <protection locked="0" hidden="0"/>
    </xf>
    <xf numFmtId="164" fontId="6" fillId="0" borderId="40" applyAlignment="1" pivotButton="0" quotePrefix="0" xfId="1">
      <alignment vertical="center"/>
    </xf>
    <xf numFmtId="164" fontId="6" fillId="0" borderId="42" applyAlignment="1" pivotButton="0" quotePrefix="0" xfId="1">
      <alignment vertical="center"/>
    </xf>
    <xf numFmtId="164" fontId="6" fillId="0" borderId="95" applyAlignment="1" pivotButton="0" quotePrefix="0" xfId="1">
      <alignment horizontal="center" vertical="center"/>
    </xf>
    <xf numFmtId="0" fontId="0" fillId="0" borderId="71" pivotButton="0" quotePrefix="0" xfId="0"/>
    <xf numFmtId="164" fontId="6" fillId="0" borderId="57" applyAlignment="1" pivotButton="0" quotePrefix="0" xfId="1">
      <alignment vertical="center"/>
    </xf>
    <xf numFmtId="164" fontId="6" fillId="0" borderId="58" applyAlignment="1" pivotButton="0" quotePrefix="0" xfId="1">
      <alignment vertical="center"/>
    </xf>
    <xf numFmtId="164" fontId="6" fillId="2" borderId="70" applyAlignment="1" applyProtection="1" pivotButton="0" quotePrefix="0" xfId="1">
      <alignment vertical="center"/>
      <protection locked="0" hidden="0"/>
    </xf>
    <xf numFmtId="164" fontId="12" fillId="0" borderId="57" applyAlignment="1" pivotButton="0" quotePrefix="0" xfId="1">
      <alignment horizontal="right" vertical="center"/>
    </xf>
    <xf numFmtId="164" fontId="6" fillId="0" borderId="43" applyAlignment="1" pivotButton="0" quotePrefix="0" xfId="1">
      <alignment vertical="center"/>
    </xf>
    <xf numFmtId="164" fontId="6" fillId="0" borderId="45" applyAlignment="1" pivotButton="0" quotePrefix="0" xfId="1">
      <alignment vertical="center"/>
    </xf>
    <xf numFmtId="164" fontId="6" fillId="0" borderId="91" applyAlignment="1" pivotButton="0" quotePrefix="0" xfId="1">
      <alignment horizontal="center" vertical="center"/>
    </xf>
    <xf numFmtId="164" fontId="6" fillId="2" borderId="43" applyAlignment="1" applyProtection="1" pivotButton="0" quotePrefix="0" xfId="1">
      <alignment vertical="center"/>
      <protection locked="0" hidden="0"/>
    </xf>
    <xf numFmtId="164" fontId="6" fillId="2" borderId="44" applyAlignment="1" applyProtection="1" pivotButton="0" quotePrefix="0" xfId="1">
      <alignment vertical="center"/>
      <protection locked="0" hidden="0"/>
    </xf>
    <xf numFmtId="164" fontId="6" fillId="2" borderId="45" applyAlignment="1" applyProtection="1" pivotButton="0" quotePrefix="0" xfId="1">
      <alignment vertical="center"/>
      <protection locked="0" hidden="0"/>
    </xf>
  </cellXfs>
  <cellStyles count="12">
    <cellStyle name="標準" xfId="0" builtinId="0"/>
    <cellStyle name="桁区切り" xfId="1" builtinId="6"/>
    <cellStyle name="パーセント" xfId="2" builtinId="5"/>
    <cellStyle name="標準 2" xfId="3"/>
    <cellStyle name="桁区切り 2" xfId="4"/>
    <cellStyle name="パーセント 2" xfId="5"/>
    <cellStyle name="標準 3" xfId="6"/>
    <cellStyle name="標準 4" xfId="7"/>
    <cellStyle name="標準 2 2" xfId="8"/>
    <cellStyle name="標準 4 2" xfId="9"/>
    <cellStyle name="標準 5" xfId="10"/>
    <cellStyle name="桁区切り 3" xfId="11"/>
  </cellStyles>
  <dxfs count="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Relationship Type="http://schemas.microsoft.com/office/2006/relationships/vbaProject" Target="vbaProject.bin" Id="rId6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_rels/sheet2.xml.rels><Relationships xmlns="http://schemas.openxmlformats.org/package/2006/relationships"><Relationship Type="http://schemas.openxmlformats.org/officeDocument/2006/relationships/vmlDrawing" Target="/xl/drawings/vmlDrawing2.vml" Id="anysvml" /></Relationships>
</file>

<file path=xl/worksheets/sheet1.xml><?xml version="1.0" encoding="utf-8"?>
<worksheet xmlns="http://schemas.openxmlformats.org/spreadsheetml/2006/main">
  <sheetPr codeName="Sheet1">
    <tabColor rgb="FF00B0F0"/>
    <outlinePr summaryBelow="1" summaryRight="1"/>
    <pageSetUpPr fitToPage="1"/>
  </sheetPr>
  <dimension ref="A1:AD55"/>
  <sheetViews>
    <sheetView showGridLines="0" zoomScale="70" zoomScaleNormal="70" workbookViewId="0">
      <pane xSplit="4" ySplit="8" topLeftCell="E9" activePane="bottomRight" state="frozen"/>
      <selection pane="topRight" activeCell="E1" sqref="E1"/>
      <selection pane="bottomLeft" activeCell="A7" sqref="A7"/>
      <selection pane="bottomRight" activeCell="AA27" sqref="AA27"/>
    </sheetView>
  </sheetViews>
  <sheetFormatPr baseColWidth="8" defaultColWidth="9" defaultRowHeight="16.5" customHeight="1"/>
  <cols>
    <col width="1.59765625" customWidth="1" style="226" min="1" max="1"/>
    <col width="6.59765625" customWidth="1" style="226" min="2" max="2"/>
    <col width="3.8984375" bestFit="1" customWidth="1" style="226" min="3" max="3"/>
    <col width="15.59765625" bestFit="1" customWidth="1" style="226" min="4" max="4"/>
    <col width="10.59765625" customWidth="1" style="226" min="5" max="5"/>
    <col width="5.09765625" customWidth="1" style="226" min="6" max="6"/>
    <col width="10.59765625" customWidth="1" style="226" min="7" max="7"/>
    <col width="5.09765625" customWidth="1" style="226" min="8" max="8"/>
    <col width="10.59765625" customWidth="1" style="226" min="9" max="9"/>
    <col width="5.09765625" customWidth="1" style="226" min="10" max="10"/>
    <col width="10.59765625" customWidth="1" style="226" min="11" max="11"/>
    <col width="5.09765625" customWidth="1" style="226" min="12" max="12"/>
    <col width="10.59765625" customWidth="1" style="226" min="13" max="13"/>
    <col width="5.09765625" customWidth="1" style="226" min="14" max="14"/>
    <col width="0.59765625" customWidth="1" style="226" min="15" max="15"/>
    <col width="7.3984375" customWidth="1" style="226" min="16" max="17"/>
    <col width="0.59765625" customWidth="1" style="226" min="18" max="18"/>
    <col width="6.59765625" customWidth="1" style="226" min="19" max="19"/>
    <col width="3.8984375" bestFit="1" customWidth="1" style="226" min="20" max="20"/>
    <col width="1.59765625" customWidth="1" style="226" min="21" max="21"/>
    <col width="6.59765625" customWidth="1" style="226" min="22" max="22"/>
    <col width="3.09765625" bestFit="1" customWidth="1" style="226" min="23" max="23"/>
    <col width="27.59765625" customWidth="1" style="226" min="24" max="24"/>
    <col width="1.59765625" customWidth="1" style="226" min="25" max="25"/>
    <col width="9" customWidth="1" style="226" min="26" max="16384"/>
  </cols>
  <sheetData>
    <row r="1" ht="21.75" customHeight="1" s="227">
      <c r="W1" s="228" t="inlineStr">
        <is>
          <t>印刷範囲の設定</t>
        </is>
      </c>
      <c r="X1" s="229" t="inlineStr">
        <is>
          <t>報告書</t>
        </is>
      </c>
      <c r="AD1" s="230" t="inlineStr">
        <is>
          <t>経営談義資料</t>
        </is>
      </c>
    </row>
    <row r="2" ht="3" customHeight="1" s="227">
      <c r="AD2" s="230" t="inlineStr">
        <is>
          <t>報告書</t>
        </is>
      </c>
    </row>
    <row r="3" ht="16.5" customHeight="1" s="227" thickBot="1">
      <c r="A3" s="231" t="n"/>
      <c r="B3" s="231" t="n"/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1" t="n"/>
      <c r="P3" s="231" t="n"/>
      <c r="Q3" s="231" t="n"/>
      <c r="R3" s="231" t="n"/>
      <c r="S3" s="231" t="n"/>
      <c r="T3" s="231" t="n"/>
      <c r="U3" s="231" t="n"/>
      <c r="V3" s="231" t="n"/>
      <c r="W3" s="231" t="n"/>
      <c r="X3" s="231" t="n"/>
    </row>
    <row r="4" ht="16.5" customFormat="1" customHeight="1" s="4">
      <c r="A4" s="5" t="n"/>
      <c r="B4" s="5" t="inlineStr">
        <is>
          <t>店コード</t>
        </is>
      </c>
      <c r="C4" s="5" t="n"/>
      <c r="D4" s="140" t="n"/>
      <c r="E4" s="5" t="n"/>
      <c r="F4" s="5" t="n"/>
      <c r="G4" s="232" t="inlineStr">
        <is>
          <t>経営談義資料</t>
        </is>
      </c>
      <c r="H4" s="233" t="n"/>
      <c r="I4" s="233" t="n"/>
      <c r="J4" s="233" t="n"/>
      <c r="K4" s="233" t="n"/>
      <c r="L4" s="234" t="n"/>
      <c r="M4" s="5" t="n"/>
      <c r="N4" s="5" t="n"/>
      <c r="O4" s="5" t="n"/>
      <c r="P4" s="5" t="n"/>
      <c r="Q4" s="5" t="n"/>
      <c r="R4" s="5" t="n"/>
      <c r="S4" s="5" t="n"/>
      <c r="T4" s="5" t="n"/>
      <c r="U4" s="5" t="n"/>
      <c r="V4" s="5" t="n"/>
      <c r="W4" s="5" t="n"/>
      <c r="X4" s="5" t="n"/>
    </row>
    <row r="5" ht="16.5" customFormat="1" customHeight="1" s="4" thickBot="1">
      <c r="A5" s="5" t="n"/>
      <c r="B5" s="5" t="inlineStr">
        <is>
          <t>店　　名</t>
        </is>
      </c>
      <c r="C5" s="5" t="n"/>
      <c r="D5" s="6" t="n"/>
      <c r="E5" s="5" t="inlineStr">
        <is>
          <t>様</t>
        </is>
      </c>
      <c r="F5" s="5" t="n"/>
      <c r="G5" s="235" t="n"/>
      <c r="H5" s="236" t="n"/>
      <c r="I5" s="236" t="n"/>
      <c r="J5" s="236" t="n"/>
      <c r="K5" s="236" t="n"/>
      <c r="L5" s="237" t="n"/>
      <c r="M5" s="5" t="n"/>
      <c r="N5" s="5" t="n"/>
      <c r="O5" s="5" t="n"/>
      <c r="P5" s="5" t="n"/>
      <c r="Q5" s="5" t="n"/>
      <c r="R5" s="5" t="n"/>
      <c r="S5" s="5" t="n"/>
      <c r="T5" s="5" t="n"/>
      <c r="U5" s="5" t="n"/>
      <c r="V5" s="5" t="inlineStr">
        <is>
          <t>営業所</t>
        </is>
      </c>
      <c r="W5" s="5" t="n"/>
      <c r="X5" s="5" t="n"/>
    </row>
    <row r="6" ht="16.5" customFormat="1" customHeight="1" s="4" thickBot="1">
      <c r="A6" s="5" t="n"/>
      <c r="B6" s="5" t="n"/>
      <c r="C6" s="5" t="n"/>
      <c r="D6" s="5" t="n"/>
      <c r="E6" s="5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  <c r="T6" s="5" t="n"/>
      <c r="U6" s="5" t="n"/>
      <c r="V6" s="5" t="inlineStr">
        <is>
          <t>担当者</t>
        </is>
      </c>
      <c r="W6" s="5" t="n"/>
      <c r="X6" s="5" t="n"/>
    </row>
    <row r="7" ht="16.5" customFormat="1" customHeight="1" s="4">
      <c r="A7" s="5" t="n"/>
      <c r="B7" s="238" t="inlineStr">
        <is>
          <t>項　　　　目</t>
        </is>
      </c>
      <c r="C7" s="233" t="n"/>
      <c r="D7" s="234" t="n"/>
      <c r="E7" s="107" t="n"/>
      <c r="F7" s="108" t="inlineStr">
        <is>
          <t>年</t>
        </is>
      </c>
      <c r="G7" s="107" t="n"/>
      <c r="H7" s="108" t="inlineStr">
        <is>
          <t>年</t>
        </is>
      </c>
      <c r="I7" s="239" t="inlineStr">
        <is>
          <t>前期差</t>
        </is>
      </c>
      <c r="J7" s="240" t="n"/>
      <c r="K7" s="107" t="n"/>
      <c r="L7" s="108" t="inlineStr">
        <is>
          <t>年</t>
        </is>
      </c>
      <c r="M7" s="241" t="inlineStr">
        <is>
          <t>前前期差</t>
        </is>
      </c>
      <c r="N7" s="234" t="n"/>
      <c r="O7" s="73" t="n"/>
      <c r="P7" s="194" t="inlineStr">
        <is>
          <t>参考値</t>
        </is>
      </c>
      <c r="Q7" s="196" t="inlineStr">
        <is>
          <t>地区
平均値</t>
        </is>
      </c>
      <c r="R7" s="5" t="n"/>
      <c r="S7" s="242" t="inlineStr">
        <is>
          <t>経営</t>
        </is>
      </c>
      <c r="T7" s="234" t="n"/>
      <c r="U7" s="5" t="n"/>
      <c r="V7" s="238" t="inlineStr">
        <is>
          <t>経営課題と改善提案</t>
        </is>
      </c>
      <c r="W7" s="233" t="n"/>
      <c r="X7" s="234" t="n"/>
    </row>
    <row r="8" ht="16.5" customFormat="1" customHeight="1" s="4" thickBot="1">
      <c r="A8" s="5" t="n"/>
      <c r="B8" s="235" t="n"/>
      <c r="C8" s="236" t="n"/>
      <c r="D8" s="237" t="n"/>
      <c r="E8" s="243" t="n"/>
      <c r="F8" s="237" t="n"/>
      <c r="G8" s="243" t="n"/>
      <c r="H8" s="237" t="n"/>
      <c r="I8" s="244" t="n"/>
      <c r="J8" s="245" t="n"/>
      <c r="K8" s="243" t="n"/>
      <c r="L8" s="237" t="n"/>
      <c r="M8" s="244" t="n"/>
      <c r="N8" s="237" t="n"/>
      <c r="O8" s="73" t="n"/>
      <c r="P8" s="246" t="n"/>
      <c r="Q8" s="247" t="n"/>
      <c r="R8" s="64" t="n"/>
      <c r="S8" s="248" t="inlineStr">
        <is>
          <t>課題</t>
        </is>
      </c>
      <c r="T8" s="237" t="n"/>
      <c r="U8" s="5" t="n"/>
      <c r="V8" s="235" t="n"/>
      <c r="W8" s="236" t="n"/>
      <c r="X8" s="237" t="n"/>
    </row>
    <row r="9" ht="16.5" customHeight="1" s="227">
      <c r="A9" s="231" t="n"/>
      <c r="B9" s="249" t="inlineStr">
        <is>
          <t>販売</t>
        </is>
      </c>
      <c r="C9" s="250" t="inlineStr">
        <is>
          <t>①</t>
        </is>
      </c>
      <c r="D9" s="251" t="inlineStr">
        <is>
          <t>販　売　高</t>
        </is>
      </c>
      <c r="E9" s="252" t="n"/>
      <c r="F9" s="253" t="inlineStr">
        <is>
          <t>千円</t>
        </is>
      </c>
      <c r="G9" s="252" t="n"/>
      <c r="H9" s="253" t="inlineStr">
        <is>
          <t>千円</t>
        </is>
      </c>
      <c r="I9" s="254">
        <f>IFERROR(E9-G9,"-")</f>
        <v/>
      </c>
      <c r="J9" s="255" t="inlineStr">
        <is>
          <t>千円</t>
        </is>
      </c>
      <c r="K9" s="252" t="n"/>
      <c r="L9" s="253" t="inlineStr">
        <is>
          <t>千円</t>
        </is>
      </c>
      <c r="M9" s="254">
        <f>IF(K9=0,"",IFERROR(E9-K9,"-"))</f>
        <v/>
      </c>
      <c r="N9" s="253" t="inlineStr">
        <is>
          <t>千円</t>
        </is>
      </c>
      <c r="O9" s="256" t="n"/>
      <c r="P9" s="257" t="n"/>
      <c r="Q9" s="258" t="n"/>
      <c r="R9" s="259" t="n"/>
      <c r="S9" s="47">
        <f>E9/G9</f>
        <v/>
      </c>
      <c r="T9" s="260">
        <f>IF(S9&lt;80%,"●","")</f>
        <v/>
      </c>
      <c r="U9" s="231" t="n"/>
      <c r="V9" s="249" t="inlineStr">
        <is>
          <t>販売</t>
        </is>
      </c>
      <c r="W9" s="261" t="inlineStr">
        <is>
          <t>課題</t>
        </is>
      </c>
      <c r="X9" s="262" t="n"/>
    </row>
    <row r="10" ht="16.5" customHeight="1" s="227">
      <c r="A10" s="231" t="n"/>
      <c r="B10" s="263" t="n"/>
      <c r="C10" s="264" t="inlineStr">
        <is>
          <t>②</t>
        </is>
      </c>
      <c r="D10" s="265" t="inlineStr">
        <is>
          <t>平均月商</t>
        </is>
      </c>
      <c r="E10" s="266">
        <f>IFERROR(ROUND(E9/12,1),"")</f>
        <v/>
      </c>
      <c r="F10" s="267" t="inlineStr">
        <is>
          <t>千円</t>
        </is>
      </c>
      <c r="G10" s="266">
        <f>IFERROR(ROUND(G9/12,1),"")</f>
        <v/>
      </c>
      <c r="H10" s="267" t="inlineStr">
        <is>
          <t>千円</t>
        </is>
      </c>
      <c r="I10" s="268">
        <f>IFERROR(E10-G10,"-")</f>
        <v/>
      </c>
      <c r="J10" s="269" t="inlineStr">
        <is>
          <t>千円</t>
        </is>
      </c>
      <c r="K10" s="266">
        <f>IFERROR(ROUND(K9/12,1),"")</f>
        <v/>
      </c>
      <c r="L10" s="267" t="inlineStr">
        <is>
          <t>千円</t>
        </is>
      </c>
      <c r="M10" s="268">
        <f>IF(K10=0,"",IFERROR(E10-K10,"-"))</f>
        <v/>
      </c>
      <c r="N10" s="267" t="inlineStr">
        <is>
          <t>千円</t>
        </is>
      </c>
      <c r="O10" s="256" t="n"/>
      <c r="P10" s="257" t="n"/>
      <c r="Q10" s="258" t="n"/>
      <c r="R10" s="259" t="n"/>
      <c r="S10" s="270" t="n"/>
      <c r="T10" s="271" t="n"/>
      <c r="U10" s="231" t="n"/>
      <c r="V10" s="263" t="n"/>
      <c r="W10" s="263" t="n"/>
      <c r="X10" s="272" t="n"/>
    </row>
    <row r="11" ht="16.5" customHeight="1" s="227">
      <c r="A11" s="231" t="n"/>
      <c r="B11" s="263" t="n"/>
      <c r="C11" s="273" t="inlineStr">
        <is>
          <t>③</t>
        </is>
      </c>
      <c r="D11" s="274" t="inlineStr">
        <is>
          <t>従業員Ｐ・Ｈ</t>
        </is>
      </c>
      <c r="E11" s="275">
        <f>IFERROR(ROUND(E10/E12,0),"")</f>
        <v/>
      </c>
      <c r="F11" s="276" t="inlineStr">
        <is>
          <t>千円</t>
        </is>
      </c>
      <c r="G11" s="275">
        <f>IFERROR(ROUND(G10/G12,0),"")</f>
        <v/>
      </c>
      <c r="H11" s="276" t="inlineStr">
        <is>
          <t>千円</t>
        </is>
      </c>
      <c r="I11" s="277">
        <f>IFERROR(E11-G11,"-")</f>
        <v/>
      </c>
      <c r="J11" s="278" t="inlineStr">
        <is>
          <t>千円</t>
        </is>
      </c>
      <c r="K11" s="275">
        <f>IFERROR(ROUND(K10/K12,0),"")</f>
        <v/>
      </c>
      <c r="L11" s="276" t="inlineStr">
        <is>
          <t>千円</t>
        </is>
      </c>
      <c r="M11" s="277">
        <f>IF(K11=0,"",IFERROR(E11-K11,"-"))</f>
        <v/>
      </c>
      <c r="N11" s="276" t="inlineStr">
        <is>
          <t>千円</t>
        </is>
      </c>
      <c r="O11" s="256" t="n"/>
      <c r="P11" s="279" t="inlineStr">
        <is>
          <t>2,000千円</t>
        </is>
      </c>
      <c r="Q11" s="79">
        <f>+#REF!</f>
        <v/>
      </c>
      <c r="R11" s="70" t="n"/>
      <c r="S11" s="280" t="n"/>
      <c r="T11" s="281" t="n"/>
      <c r="U11" s="231" t="n"/>
      <c r="V11" s="263" t="n"/>
      <c r="W11" s="282" t="n"/>
      <c r="X11" s="272" t="n"/>
    </row>
    <row r="12" ht="16.5" customHeight="1" s="227">
      <c r="A12" s="231" t="n"/>
      <c r="B12" s="263" t="n"/>
      <c r="C12" s="283" t="n"/>
      <c r="D12" s="284" t="inlineStr">
        <is>
          <t>対象従業員(※2)</t>
        </is>
      </c>
      <c r="E12" s="285" t="n"/>
      <c r="F12" s="286" t="inlineStr">
        <is>
          <t>人</t>
        </is>
      </c>
      <c r="G12" s="285" t="n"/>
      <c r="H12" s="286" t="inlineStr">
        <is>
          <t>人</t>
        </is>
      </c>
      <c r="I12" s="287">
        <f>IFERROR(E12-G12,"-")</f>
        <v/>
      </c>
      <c r="J12" s="288" t="inlineStr">
        <is>
          <t>人</t>
        </is>
      </c>
      <c r="K12" s="285" t="n"/>
      <c r="L12" s="286" t="inlineStr">
        <is>
          <t>人</t>
        </is>
      </c>
      <c r="M12" s="287">
        <f>IF(K12=0,"",IFERROR(E12-K12,"-"))</f>
        <v/>
      </c>
      <c r="N12" s="286" t="inlineStr">
        <is>
          <t>人</t>
        </is>
      </c>
      <c r="O12" s="289" t="n"/>
      <c r="P12" s="290" t="inlineStr">
        <is>
          <t>以上</t>
        </is>
      </c>
      <c r="Q12" s="291" t="n"/>
      <c r="R12" s="292" t="n"/>
      <c r="S12" s="293" t="n"/>
      <c r="T12" s="294" t="n"/>
      <c r="U12" s="231" t="n"/>
      <c r="V12" s="263" t="n"/>
      <c r="W12" s="295" t="inlineStr">
        <is>
          <t>提案</t>
        </is>
      </c>
      <c r="X12" s="272" t="n"/>
    </row>
    <row r="13" ht="16.5" customHeight="1" s="227">
      <c r="A13" s="231" t="n"/>
      <c r="B13" s="263" t="n"/>
      <c r="C13" s="296" t="inlineStr">
        <is>
          <t>④</t>
        </is>
      </c>
      <c r="D13" s="297" t="inlineStr">
        <is>
          <t>ﾍﾟｲﾗｲﾝ（年間）</t>
        </is>
      </c>
      <c r="E13" s="298">
        <f>IFERROR(SUM(((E15-E25)/E16)*100,1),"")</f>
        <v/>
      </c>
      <c r="F13" s="299" t="inlineStr">
        <is>
          <t>千円</t>
        </is>
      </c>
      <c r="G13" s="298">
        <f>IFERROR(SUM(((G15-G25)/G16)*100,1),"")</f>
        <v/>
      </c>
      <c r="H13" s="299" t="inlineStr">
        <is>
          <t>千円</t>
        </is>
      </c>
      <c r="I13" s="300">
        <f>IFERROR(E13-G13,"-")</f>
        <v/>
      </c>
      <c r="J13" s="301" t="inlineStr">
        <is>
          <t>千円</t>
        </is>
      </c>
      <c r="K13" s="298">
        <f>IFERROR(SUM(((K15-K25)/K16)*100,1),"")</f>
        <v/>
      </c>
      <c r="L13" s="299" t="inlineStr">
        <is>
          <t>千円</t>
        </is>
      </c>
      <c r="M13" s="300">
        <f>IF(K13=0,"",IFERROR(E13-K13,"-"))</f>
        <v/>
      </c>
      <c r="N13" s="299" t="inlineStr">
        <is>
          <t>千円</t>
        </is>
      </c>
      <c r="O13" s="256" t="n"/>
      <c r="P13" s="257" t="n"/>
      <c r="Q13" s="258" t="n"/>
      <c r="R13" s="259" t="n"/>
      <c r="S13" s="302" t="n"/>
      <c r="T13" s="303" t="n"/>
      <c r="U13" s="231" t="n"/>
      <c r="V13" s="263" t="n"/>
      <c r="W13" s="263" t="n"/>
      <c r="X13" s="272" t="n"/>
    </row>
    <row r="14" ht="16.5" customHeight="1" s="227" thickBot="1">
      <c r="A14" s="231" t="n"/>
      <c r="B14" s="304" t="n"/>
      <c r="C14" s="245" t="n"/>
      <c r="D14" s="305" t="inlineStr">
        <is>
          <t>ﾍﾟｲﾗｲﾝ（月）</t>
        </is>
      </c>
      <c r="E14" s="306">
        <f>IFERROR(E13/12,"")</f>
        <v/>
      </c>
      <c r="F14" s="307" t="inlineStr">
        <is>
          <t>千円</t>
        </is>
      </c>
      <c r="G14" s="306">
        <f>IFERROR(G13/12,"")</f>
        <v/>
      </c>
      <c r="H14" s="307" t="inlineStr">
        <is>
          <t>千円</t>
        </is>
      </c>
      <c r="I14" s="308">
        <f>IFERROR(E14-G14,"-")</f>
        <v/>
      </c>
      <c r="J14" s="309" t="inlineStr">
        <is>
          <t>千円</t>
        </is>
      </c>
      <c r="K14" s="306">
        <f>IFERROR(K13/12,"")</f>
        <v/>
      </c>
      <c r="L14" s="307" t="inlineStr">
        <is>
          <t>千円</t>
        </is>
      </c>
      <c r="M14" s="308">
        <f>IF(K14=0,"",IFERROR(E14-K14,"-"))</f>
        <v/>
      </c>
      <c r="N14" s="307" t="inlineStr">
        <is>
          <t>千円</t>
        </is>
      </c>
      <c r="O14" s="289" t="n"/>
      <c r="P14" s="257" t="n"/>
      <c r="Q14" s="258" t="n"/>
      <c r="R14" s="259" t="n"/>
      <c r="S14" s="310" t="n"/>
      <c r="T14" s="311" t="n"/>
      <c r="U14" s="231" t="n"/>
      <c r="V14" s="304" t="n"/>
      <c r="W14" s="304" t="n"/>
      <c r="X14" s="312" t="n"/>
    </row>
    <row r="15" ht="16.5" customHeight="1" s="227">
      <c r="A15" s="231" t="n"/>
      <c r="B15" s="249" t="inlineStr">
        <is>
          <t>収支</t>
        </is>
      </c>
      <c r="C15" s="250" t="inlineStr">
        <is>
          <t>⑤</t>
        </is>
      </c>
      <c r="D15" s="313" t="inlineStr">
        <is>
          <t>粗 利 額</t>
        </is>
      </c>
      <c r="E15" s="314" t="n"/>
      <c r="F15" s="315" t="inlineStr">
        <is>
          <t>千円</t>
        </is>
      </c>
      <c r="G15" s="314" t="n"/>
      <c r="H15" s="315" t="inlineStr">
        <is>
          <t>千円</t>
        </is>
      </c>
      <c r="I15" s="316">
        <f>IFERROR(E15-G15,"-")</f>
        <v/>
      </c>
      <c r="J15" s="317" t="inlineStr">
        <is>
          <t>千円</t>
        </is>
      </c>
      <c r="K15" s="314" t="n"/>
      <c r="L15" s="315" t="inlineStr">
        <is>
          <t>千円</t>
        </is>
      </c>
      <c r="M15" s="316">
        <f>IF(K15=0,"",IFERROR(E15-K15,"-"))</f>
        <v/>
      </c>
      <c r="N15" s="315" t="inlineStr">
        <is>
          <t>千円</t>
        </is>
      </c>
      <c r="O15" s="256" t="n"/>
      <c r="P15" s="279" t="n"/>
      <c r="Q15" s="318" t="n"/>
      <c r="R15" s="319" t="n"/>
      <c r="S15" s="302" t="n"/>
      <c r="T15" s="303" t="n"/>
      <c r="U15" s="231" t="n"/>
      <c r="V15" s="320" t="inlineStr">
        <is>
          <t>収支</t>
        </is>
      </c>
      <c r="W15" s="261" t="inlineStr">
        <is>
          <t>課題</t>
        </is>
      </c>
      <c r="X15" s="321" t="n"/>
    </row>
    <row r="16" ht="16.5" customHeight="1" s="227">
      <c r="A16" s="231" t="n"/>
      <c r="B16" s="263" t="n"/>
      <c r="C16" s="322" t="n"/>
      <c r="D16" s="284" t="inlineStr">
        <is>
          <t xml:space="preserve">　〃　率</t>
        </is>
      </c>
      <c r="E16" s="323">
        <f>IFERROR(E15/$E9*100,"")</f>
        <v/>
      </c>
      <c r="F16" s="286" t="inlineStr">
        <is>
          <t>％</t>
        </is>
      </c>
      <c r="G16" s="323">
        <f>IFERROR(G15/$G9*100,"")</f>
        <v/>
      </c>
      <c r="H16" s="286" t="inlineStr">
        <is>
          <t>％</t>
        </is>
      </c>
      <c r="I16" s="324">
        <f>IFERROR(E16-G16,"-")</f>
        <v/>
      </c>
      <c r="J16" s="288" t="inlineStr">
        <is>
          <t>％</t>
        </is>
      </c>
      <c r="K16" s="323">
        <f>IFERROR(K15/$K9*100,"")</f>
        <v/>
      </c>
      <c r="L16" s="286" t="inlineStr">
        <is>
          <t>％</t>
        </is>
      </c>
      <c r="M16" s="324">
        <f>IF(K16=0,"",IFERROR(E16-K16,"-"))</f>
        <v/>
      </c>
      <c r="N16" s="286" t="inlineStr">
        <is>
          <t>％</t>
        </is>
      </c>
      <c r="O16" s="289" t="n"/>
      <c r="P16" s="279" t="inlineStr">
        <is>
          <t>35％以上</t>
        </is>
      </c>
      <c r="Q16" s="325">
        <f>+#REF!</f>
        <v/>
      </c>
      <c r="R16" s="326" t="n"/>
      <c r="S16" s="327">
        <f>IF(COUNTIF(Z16:AB16,"○")=3,"３期",IF(COUNTIF(Z16:AB16,"○")=2,"２期",IF(COUNTIF(Z16:AB16,"○")=1,"１期","")))</f>
        <v/>
      </c>
      <c r="T16" s="328">
        <f>IF(E16&lt;=20,"●","")</f>
        <v/>
      </c>
      <c r="U16" s="231" t="n"/>
      <c r="V16" s="263" t="n"/>
      <c r="W16" s="263" t="n"/>
      <c r="X16" s="272" t="n"/>
      <c r="Z16" s="329" t="n"/>
      <c r="AA16" s="329" t="n"/>
      <c r="AB16" s="329" t="n"/>
      <c r="AC16" s="329" t="n"/>
    </row>
    <row r="17" ht="16.5" customHeight="1" s="227">
      <c r="A17" s="231" t="n"/>
      <c r="B17" s="263" t="n"/>
      <c r="C17" s="264" t="inlineStr">
        <is>
          <t>⑥</t>
        </is>
      </c>
      <c r="D17" s="274" t="inlineStr">
        <is>
          <t>管理経費</t>
        </is>
      </c>
      <c r="E17" s="330" t="n"/>
      <c r="F17" s="276" t="inlineStr">
        <is>
          <t>千円</t>
        </is>
      </c>
      <c r="G17" s="330" t="n"/>
      <c r="H17" s="276" t="inlineStr">
        <is>
          <t>千円</t>
        </is>
      </c>
      <c r="I17" s="277">
        <f>IFERROR(E17-G17,"-")</f>
        <v/>
      </c>
      <c r="J17" s="278" t="inlineStr">
        <is>
          <t>千円</t>
        </is>
      </c>
      <c r="K17" s="330" t="n"/>
      <c r="L17" s="276" t="inlineStr">
        <is>
          <t>千円</t>
        </is>
      </c>
      <c r="M17" s="277">
        <f>IF(K17=0,"",IFERROR(E17-K17,"-"))</f>
        <v/>
      </c>
      <c r="N17" s="276" t="inlineStr">
        <is>
          <t>千円</t>
        </is>
      </c>
      <c r="O17" s="256" t="n"/>
      <c r="P17" s="257" t="n"/>
      <c r="Q17" s="258" t="n"/>
      <c r="R17" s="259" t="n"/>
      <c r="S17" s="280" t="n"/>
      <c r="T17" s="281" t="n"/>
      <c r="U17" s="231" t="n"/>
      <c r="V17" s="263" t="n"/>
      <c r="W17" s="263" t="n"/>
      <c r="X17" s="272" t="n"/>
    </row>
    <row r="18" ht="16.5" customHeight="1" s="227">
      <c r="A18" s="231" t="n"/>
      <c r="B18" s="263" t="n"/>
      <c r="C18" s="322" t="n"/>
      <c r="D18" s="284" t="inlineStr">
        <is>
          <t xml:space="preserve">　〃　率</t>
        </is>
      </c>
      <c r="E18" s="323">
        <f>IFERROR(E17/$E9*100,"")</f>
        <v/>
      </c>
      <c r="F18" s="286" t="inlineStr">
        <is>
          <t>％</t>
        </is>
      </c>
      <c r="G18" s="323">
        <f>IFERROR(G17/$G9*100,"")</f>
        <v/>
      </c>
      <c r="H18" s="286" t="inlineStr">
        <is>
          <t>％</t>
        </is>
      </c>
      <c r="I18" s="324">
        <f>IFERROR(E18-G18,"-")</f>
        <v/>
      </c>
      <c r="J18" s="288" t="inlineStr">
        <is>
          <t>％</t>
        </is>
      </c>
      <c r="K18" s="323">
        <f>IFERROR(K17/$K9*100,"")</f>
        <v/>
      </c>
      <c r="L18" s="286" t="inlineStr">
        <is>
          <t>％</t>
        </is>
      </c>
      <c r="M18" s="324">
        <f>IF(K18=0,"",IFERROR(E18-K18,"-"))</f>
        <v/>
      </c>
      <c r="N18" s="286" t="inlineStr">
        <is>
          <t>％</t>
        </is>
      </c>
      <c r="O18" s="289" t="n"/>
      <c r="P18" s="279" t="inlineStr">
        <is>
          <t>32％以下</t>
        </is>
      </c>
      <c r="Q18" s="331">
        <f>+#REF!</f>
        <v/>
      </c>
      <c r="R18" s="332" t="n"/>
      <c r="S18" s="293" t="n"/>
      <c r="T18" s="294" t="n"/>
      <c r="U18" s="231" t="n"/>
      <c r="V18" s="263" t="n"/>
      <c r="W18" s="263" t="n"/>
      <c r="X18" s="272" t="n"/>
    </row>
    <row r="19" ht="16.5" customHeight="1" s="227">
      <c r="A19" s="231" t="n"/>
      <c r="B19" s="263" t="n"/>
      <c r="C19" s="264" t="inlineStr">
        <is>
          <t>⑦</t>
        </is>
      </c>
      <c r="D19" s="274" t="inlineStr">
        <is>
          <t>営業利益</t>
        </is>
      </c>
      <c r="E19" s="330" t="n"/>
      <c r="F19" s="276" t="inlineStr">
        <is>
          <t>千円</t>
        </is>
      </c>
      <c r="G19" s="330" t="n"/>
      <c r="H19" s="276" t="inlineStr">
        <is>
          <t>千円</t>
        </is>
      </c>
      <c r="I19" s="277">
        <f>IFERROR(E19-G19,"-")</f>
        <v/>
      </c>
      <c r="J19" s="278" t="inlineStr">
        <is>
          <t>千円</t>
        </is>
      </c>
      <c r="K19" s="330" t="n"/>
      <c r="L19" s="276" t="inlineStr">
        <is>
          <t>千円</t>
        </is>
      </c>
      <c r="M19" s="277">
        <f>IF(K19=0,"",IFERROR(E19-K19,"-"))</f>
        <v/>
      </c>
      <c r="N19" s="276" t="inlineStr">
        <is>
          <t>千円</t>
        </is>
      </c>
      <c r="O19" s="256" t="n"/>
      <c r="P19" s="257" t="n"/>
      <c r="Q19" s="258" t="n"/>
      <c r="R19" s="259" t="n"/>
      <c r="S19" s="280" t="n"/>
      <c r="T19" s="281" t="n"/>
      <c r="U19" s="231" t="n"/>
      <c r="V19" s="263" t="n"/>
      <c r="W19" s="263" t="n"/>
      <c r="X19" s="272" t="n"/>
    </row>
    <row r="20" ht="16.5" customHeight="1" s="227">
      <c r="A20" s="231" t="n"/>
      <c r="B20" s="263" t="n"/>
      <c r="C20" s="322" t="n"/>
      <c r="D20" s="284" t="inlineStr">
        <is>
          <t xml:space="preserve">　〃　率</t>
        </is>
      </c>
      <c r="E20" s="323">
        <f>IFERROR(E19/$E9*100,"")</f>
        <v/>
      </c>
      <c r="F20" s="286" t="inlineStr">
        <is>
          <t>％</t>
        </is>
      </c>
      <c r="G20" s="323">
        <f>IFERROR(G19/$G9*100,"")</f>
        <v/>
      </c>
      <c r="H20" s="286" t="inlineStr">
        <is>
          <t>％</t>
        </is>
      </c>
      <c r="I20" s="324">
        <f>IFERROR(E20-G20,"-")</f>
        <v/>
      </c>
      <c r="J20" s="288" t="inlineStr">
        <is>
          <t>％</t>
        </is>
      </c>
      <c r="K20" s="323">
        <f>IFERROR(K19/$K9*100,"")</f>
        <v/>
      </c>
      <c r="L20" s="286" t="inlineStr">
        <is>
          <t>％</t>
        </is>
      </c>
      <c r="M20" s="324">
        <f>IF(K20=0,"",IFERROR(E20-K20,"-"))</f>
        <v/>
      </c>
      <c r="N20" s="286" t="inlineStr">
        <is>
          <t>％</t>
        </is>
      </c>
      <c r="O20" s="289" t="n"/>
      <c r="P20" s="279" t="inlineStr">
        <is>
          <t>3％以上</t>
        </is>
      </c>
      <c r="Q20" s="325">
        <f>+#REF!</f>
        <v/>
      </c>
      <c r="R20" s="326" t="n"/>
      <c r="S20" s="293" t="n"/>
      <c r="T20" s="294" t="n"/>
      <c r="U20" s="231" t="n"/>
      <c r="V20" s="263" t="n"/>
      <c r="W20" s="282" t="n"/>
      <c r="X20" s="272" t="n"/>
    </row>
    <row r="21" ht="16.5" customHeight="1" s="227">
      <c r="A21" s="231" t="n"/>
      <c r="B21" s="263" t="n"/>
      <c r="C21" s="264" t="inlineStr">
        <is>
          <t>⑧</t>
        </is>
      </c>
      <c r="D21" s="274" t="inlineStr">
        <is>
          <t>営業外損益</t>
        </is>
      </c>
      <c r="E21" s="330" t="n"/>
      <c r="F21" s="276" t="inlineStr">
        <is>
          <t>千円</t>
        </is>
      </c>
      <c r="G21" s="330" t="n"/>
      <c r="H21" s="276" t="inlineStr">
        <is>
          <t>千円</t>
        </is>
      </c>
      <c r="I21" s="277">
        <f>IFERROR(E21-G21,"-")</f>
        <v/>
      </c>
      <c r="J21" s="278" t="inlineStr">
        <is>
          <t>千円</t>
        </is>
      </c>
      <c r="K21" s="330" t="n"/>
      <c r="L21" s="276" t="inlineStr">
        <is>
          <t>千円</t>
        </is>
      </c>
      <c r="M21" s="277">
        <f>IF(K21=0,"",IFERROR(E21-K21,"-"))</f>
        <v/>
      </c>
      <c r="N21" s="276" t="inlineStr">
        <is>
          <t>千円</t>
        </is>
      </c>
      <c r="O21" s="256" t="n"/>
      <c r="P21" s="257" t="n"/>
      <c r="Q21" s="258" t="n"/>
      <c r="R21" s="259" t="n"/>
      <c r="S21" s="280" t="n"/>
      <c r="T21" s="281" t="n"/>
      <c r="U21" s="231" t="n"/>
      <c r="V21" s="263" t="n"/>
      <c r="W21" s="295" t="inlineStr">
        <is>
          <t>提案</t>
        </is>
      </c>
      <c r="X21" s="272" t="n"/>
    </row>
    <row r="22" ht="16.5" customHeight="1" s="227">
      <c r="A22" s="231" t="n"/>
      <c r="B22" s="263" t="n"/>
      <c r="C22" s="322" t="n"/>
      <c r="D22" s="284" t="inlineStr">
        <is>
          <t xml:space="preserve">　〃　率</t>
        </is>
      </c>
      <c r="E22" s="323">
        <f>IFERROR(E21/$E9*100,"")</f>
        <v/>
      </c>
      <c r="F22" s="286" t="inlineStr">
        <is>
          <t>％</t>
        </is>
      </c>
      <c r="G22" s="323">
        <f>IFERROR(G21/$G9*100,"")</f>
        <v/>
      </c>
      <c r="H22" s="286" t="inlineStr">
        <is>
          <t>％</t>
        </is>
      </c>
      <c r="I22" s="324">
        <f>IFERROR(E22-G22,"-")</f>
        <v/>
      </c>
      <c r="J22" s="288" t="inlineStr">
        <is>
          <t>％</t>
        </is>
      </c>
      <c r="K22" s="323">
        <f>IFERROR(K21/$K9*100,"")</f>
        <v/>
      </c>
      <c r="L22" s="286" t="inlineStr">
        <is>
          <t>％</t>
        </is>
      </c>
      <c r="M22" s="324">
        <f>IF(K22=0,"",IFERROR(E22-K22,"-"))</f>
        <v/>
      </c>
      <c r="N22" s="286" t="inlineStr">
        <is>
          <t>％</t>
        </is>
      </c>
      <c r="O22" s="289" t="n"/>
      <c r="P22" s="257" t="n"/>
      <c r="Q22" s="258" t="n"/>
      <c r="R22" s="259" t="n"/>
      <c r="S22" s="293" t="n"/>
      <c r="T22" s="294" t="n"/>
      <c r="U22" s="231" t="n"/>
      <c r="V22" s="263" t="n"/>
      <c r="W22" s="263" t="n"/>
      <c r="X22" s="272" t="n"/>
    </row>
    <row r="23" ht="16.5" customHeight="1" s="227">
      <c r="A23" s="231" t="n"/>
      <c r="B23" s="263" t="n"/>
      <c r="C23" s="264" t="inlineStr">
        <is>
          <t>⑨</t>
        </is>
      </c>
      <c r="D23" s="274" t="inlineStr">
        <is>
          <t>支払利息</t>
        </is>
      </c>
      <c r="E23" s="330" t="n"/>
      <c r="F23" s="276" t="inlineStr">
        <is>
          <t>千円</t>
        </is>
      </c>
      <c r="G23" s="330" t="n"/>
      <c r="H23" s="276" t="inlineStr">
        <is>
          <t>千円</t>
        </is>
      </c>
      <c r="I23" s="277">
        <f>IFERROR(E23-G23,"-")</f>
        <v/>
      </c>
      <c r="J23" s="278" t="inlineStr">
        <is>
          <t>千円</t>
        </is>
      </c>
      <c r="K23" s="330" t="n"/>
      <c r="L23" s="276" t="inlineStr">
        <is>
          <t>千円</t>
        </is>
      </c>
      <c r="M23" s="277">
        <f>IF(K23=0,"",IFERROR(E23-K23,"-"))</f>
        <v/>
      </c>
      <c r="N23" s="276" t="inlineStr">
        <is>
          <t>千円</t>
        </is>
      </c>
      <c r="O23" s="256" t="n"/>
      <c r="P23" s="257" t="n"/>
      <c r="Q23" s="258" t="n"/>
      <c r="R23" s="259" t="n"/>
      <c r="S23" s="280" t="n"/>
      <c r="T23" s="281" t="n"/>
      <c r="U23" s="231" t="n"/>
      <c r="V23" s="263" t="n"/>
      <c r="W23" s="263" t="n"/>
      <c r="X23" s="272" t="n"/>
    </row>
    <row r="24" ht="16.5" customHeight="1" s="227">
      <c r="A24" s="231" t="n"/>
      <c r="B24" s="263" t="n"/>
      <c r="C24" s="322" t="n"/>
      <c r="D24" s="284" t="inlineStr">
        <is>
          <t xml:space="preserve">　〃　率</t>
        </is>
      </c>
      <c r="E24" s="323">
        <f>IFERROR(E23/$E9*100,"")</f>
        <v/>
      </c>
      <c r="F24" s="286" t="inlineStr">
        <is>
          <t>％</t>
        </is>
      </c>
      <c r="G24" s="323">
        <f>IFERROR(G23/$G9*100,"")</f>
        <v/>
      </c>
      <c r="H24" s="286" t="inlineStr">
        <is>
          <t>％</t>
        </is>
      </c>
      <c r="I24" s="324">
        <f>IFERROR(E24-G24,"-")</f>
        <v/>
      </c>
      <c r="J24" s="288" t="inlineStr">
        <is>
          <t>％</t>
        </is>
      </c>
      <c r="K24" s="323">
        <f>IFERROR(K23/$K9*100,"")</f>
        <v/>
      </c>
      <c r="L24" s="286" t="inlineStr">
        <is>
          <t>％</t>
        </is>
      </c>
      <c r="M24" s="324">
        <f>IF(K24=0,"",IFERROR(E24-K24,"-"))</f>
        <v/>
      </c>
      <c r="N24" s="286" t="inlineStr">
        <is>
          <t>％</t>
        </is>
      </c>
      <c r="O24" s="289" t="n"/>
      <c r="P24" s="257" t="n"/>
      <c r="Q24" s="258" t="n"/>
      <c r="R24" s="259" t="n"/>
      <c r="S24" s="333">
        <f>IF(COUNTIF(Z24:AB24,"○")=3,"３期",IF(COUNTIF(Z24:AB24,"○")=2,"２期",IF(COUNTIF(Z24:AB24,"○")=1,"１期","")))</f>
        <v/>
      </c>
      <c r="T24" s="328">
        <f>IF(E24&gt;=2,"●","")</f>
        <v/>
      </c>
      <c r="U24" s="231" t="n"/>
      <c r="V24" s="263" t="n"/>
      <c r="W24" s="263" t="n"/>
      <c r="X24" s="272" t="n"/>
      <c r="Z24" s="329" t="n"/>
      <c r="AA24" s="329" t="n"/>
      <c r="AB24" s="329" t="n"/>
    </row>
    <row r="25" ht="16.5" customHeight="1" s="227">
      <c r="A25" s="231" t="n"/>
      <c r="B25" s="263" t="n"/>
      <c r="C25" s="334" t="inlineStr">
        <is>
          <t>⑩</t>
        </is>
      </c>
      <c r="D25" s="274" t="inlineStr">
        <is>
          <t>利　　益</t>
        </is>
      </c>
      <c r="E25" s="330" t="n"/>
      <c r="F25" s="276" t="inlineStr">
        <is>
          <t>千円</t>
        </is>
      </c>
      <c r="G25" s="330" t="n"/>
      <c r="H25" s="276" t="inlineStr">
        <is>
          <t>千円</t>
        </is>
      </c>
      <c r="I25" s="277">
        <f>IFERROR(E25-G25,"-")</f>
        <v/>
      </c>
      <c r="J25" s="278" t="inlineStr">
        <is>
          <t>千円</t>
        </is>
      </c>
      <c r="K25" s="330" t="n"/>
      <c r="L25" s="276" t="inlineStr">
        <is>
          <t>千円</t>
        </is>
      </c>
      <c r="M25" s="277">
        <f>IF(K25=0,"",IFERROR(E25-K25,"-"))</f>
        <v/>
      </c>
      <c r="N25" s="276" t="inlineStr">
        <is>
          <t>千円</t>
        </is>
      </c>
      <c r="O25" s="256" t="n"/>
      <c r="P25" s="257" t="n"/>
      <c r="Q25" s="258" t="n"/>
      <c r="R25" s="259" t="n"/>
      <c r="S25" s="327">
        <f>IF(COUNTIF(Z25:AB25,"○")=3,"３期",IF(COUNTIF(Z25:AB25,"○")=2,"２期",IF(COUNTIF(Z25:AB25,"○")=1,"１期","")))</f>
        <v/>
      </c>
      <c r="T25" s="328">
        <f>IF(COUNTIF(Z25:AA25,"○")=2,"●",IF(COUNTIF(Z25:AA25,"○")&lt;=1,""))</f>
        <v/>
      </c>
      <c r="U25" s="231" t="n"/>
      <c r="V25" s="263" t="n"/>
      <c r="W25" s="263" t="n"/>
      <c r="X25" s="272" t="n"/>
      <c r="Z25" s="329" t="n"/>
      <c r="AA25" s="329" t="n"/>
      <c r="AB25" s="329" t="n"/>
    </row>
    <row r="26" ht="16.5" customHeight="1" s="227" thickBot="1">
      <c r="A26" s="231" t="n"/>
      <c r="B26" s="304" t="n"/>
      <c r="C26" s="245" t="n"/>
      <c r="D26" s="305" t="inlineStr">
        <is>
          <t xml:space="preserve">　〃　率</t>
        </is>
      </c>
      <c r="E26" s="335">
        <f>IFERROR(E25/$E9*100,"")</f>
        <v/>
      </c>
      <c r="F26" s="307" t="inlineStr">
        <is>
          <t>％</t>
        </is>
      </c>
      <c r="G26" s="335">
        <f>IFERROR(G25/$G9*100,"")</f>
        <v/>
      </c>
      <c r="H26" s="307" t="inlineStr">
        <is>
          <t>％</t>
        </is>
      </c>
      <c r="I26" s="336">
        <f>IFERROR(E26-G26,"-")</f>
        <v/>
      </c>
      <c r="J26" s="309" t="inlineStr">
        <is>
          <t>％</t>
        </is>
      </c>
      <c r="K26" s="335">
        <f>IFERROR(K25/$K9*100,"")</f>
        <v/>
      </c>
      <c r="L26" s="307" t="inlineStr">
        <is>
          <t>％</t>
        </is>
      </c>
      <c r="M26" s="336">
        <f>IF(K26=0,"",IFERROR(E26-K26,"-"))</f>
        <v/>
      </c>
      <c r="N26" s="307" t="inlineStr">
        <is>
          <t>％</t>
        </is>
      </c>
      <c r="O26" s="289" t="n"/>
      <c r="P26" s="279" t="inlineStr">
        <is>
          <t>3％以上</t>
        </is>
      </c>
      <c r="Q26" s="318" t="n"/>
      <c r="R26" s="319" t="n"/>
      <c r="S26" s="337" t="n"/>
      <c r="T26" s="338" t="n"/>
      <c r="U26" s="231" t="n"/>
      <c r="V26" s="304" t="n"/>
      <c r="W26" s="304" t="n"/>
      <c r="X26" s="312" t="n"/>
    </row>
    <row r="27" ht="16.5" customHeight="1" s="227">
      <c r="A27" s="231" t="n"/>
      <c r="B27" s="320" t="inlineStr">
        <is>
          <t>資金</t>
        </is>
      </c>
      <c r="C27" s="339" t="inlineStr">
        <is>
          <t>⑪</t>
        </is>
      </c>
      <c r="D27" s="297" t="inlineStr">
        <is>
          <t>現預金</t>
        </is>
      </c>
      <c r="E27" s="330" t="n"/>
      <c r="F27" s="299" t="inlineStr">
        <is>
          <t>千円</t>
        </is>
      </c>
      <c r="G27" s="330" t="n"/>
      <c r="H27" s="299" t="inlineStr">
        <is>
          <t>千円</t>
        </is>
      </c>
      <c r="I27" s="300">
        <f>IFERROR(E27-G27,"-")</f>
        <v/>
      </c>
      <c r="J27" s="301" t="inlineStr">
        <is>
          <t>千円</t>
        </is>
      </c>
      <c r="K27" s="330" t="n"/>
      <c r="L27" s="299" t="inlineStr">
        <is>
          <t>千円</t>
        </is>
      </c>
      <c r="M27" s="300">
        <f>IF(K27=0,"",IFERROR(E27-K27,"-"))</f>
        <v/>
      </c>
      <c r="N27" s="299" t="inlineStr">
        <is>
          <t>千円</t>
        </is>
      </c>
      <c r="O27" s="256" t="n"/>
      <c r="P27" s="257" t="n"/>
      <c r="Q27" s="258" t="n"/>
      <c r="R27" s="259" t="n"/>
      <c r="S27" s="302" t="n"/>
      <c r="T27" s="303" t="n"/>
      <c r="U27" s="231" t="n"/>
      <c r="V27" s="320" t="inlineStr">
        <is>
          <t>資金</t>
        </is>
      </c>
      <c r="W27" s="261" t="inlineStr">
        <is>
          <t>課題</t>
        </is>
      </c>
      <c r="X27" s="321" t="n"/>
    </row>
    <row r="28" ht="16.5" customHeight="1" s="227">
      <c r="A28" s="231" t="n"/>
      <c r="B28" s="263" t="n"/>
      <c r="C28" s="322" t="n"/>
      <c r="D28" s="284" t="inlineStr">
        <is>
          <t xml:space="preserve">　〃　日数</t>
        </is>
      </c>
      <c r="E28" s="340">
        <f>IFERROR(E27/E10*30,"")</f>
        <v/>
      </c>
      <c r="F28" s="286" t="inlineStr">
        <is>
          <t>日</t>
        </is>
      </c>
      <c r="G28" s="340">
        <f>IFERROR(G27/G10*30,"")</f>
        <v/>
      </c>
      <c r="H28" s="286" t="inlineStr">
        <is>
          <t>日</t>
        </is>
      </c>
      <c r="I28" s="341">
        <f>IFERROR(E28-G28,"-")</f>
        <v/>
      </c>
      <c r="J28" s="288" t="inlineStr">
        <is>
          <t>日</t>
        </is>
      </c>
      <c r="K28" s="340">
        <f>IFERROR(K27/K10*30,"")</f>
        <v/>
      </c>
      <c r="L28" s="286" t="inlineStr">
        <is>
          <t>日</t>
        </is>
      </c>
      <c r="M28" s="341">
        <f>IF(K28=0,"",IFERROR(E28-K28,"-"))</f>
        <v/>
      </c>
      <c r="N28" s="286" t="inlineStr">
        <is>
          <t>日</t>
        </is>
      </c>
      <c r="O28" s="289" t="n"/>
      <c r="P28" s="279" t="n"/>
      <c r="Q28" s="318" t="n"/>
      <c r="R28" s="319" t="n"/>
      <c r="S28" s="342" t="n"/>
      <c r="T28" s="294" t="n"/>
      <c r="U28" s="231" t="n"/>
      <c r="V28" s="263" t="n"/>
      <c r="W28" s="263" t="n"/>
      <c r="X28" s="272" t="n"/>
      <c r="Z28" s="329" t="n"/>
      <c r="AA28" s="329" t="n"/>
      <c r="AB28" s="329" t="n"/>
    </row>
    <row r="29" ht="16.5" customHeight="1" s="227">
      <c r="A29" s="231" t="n"/>
      <c r="B29" s="263" t="n"/>
      <c r="C29" s="339" t="inlineStr">
        <is>
          <t>⑫</t>
        </is>
      </c>
      <c r="D29" s="297" t="inlineStr">
        <is>
          <t>売掛金</t>
        </is>
      </c>
      <c r="E29" s="330" t="n"/>
      <c r="F29" s="299" t="inlineStr">
        <is>
          <t>千円</t>
        </is>
      </c>
      <c r="G29" s="330" t="n"/>
      <c r="H29" s="299" t="inlineStr">
        <is>
          <t>千円</t>
        </is>
      </c>
      <c r="I29" s="300">
        <f>IFERROR(E29-G29,"-")</f>
        <v/>
      </c>
      <c r="J29" s="301" t="inlineStr">
        <is>
          <t>千円</t>
        </is>
      </c>
      <c r="K29" s="330" t="n"/>
      <c r="L29" s="299" t="inlineStr">
        <is>
          <t>千円</t>
        </is>
      </c>
      <c r="M29" s="300">
        <f>IF(K29=0,"",IFERROR(E29-K29,"-"))</f>
        <v/>
      </c>
      <c r="N29" s="299" t="inlineStr">
        <is>
          <t>千円</t>
        </is>
      </c>
      <c r="O29" s="256" t="n"/>
      <c r="P29" s="257" t="n"/>
      <c r="Q29" s="258" t="n"/>
      <c r="R29" s="259" t="n"/>
      <c r="S29" s="302" t="n"/>
      <c r="T29" s="303" t="n"/>
      <c r="U29" s="231" t="n"/>
      <c r="V29" s="263" t="n"/>
      <c r="W29" s="263" t="n"/>
      <c r="X29" s="272" t="n"/>
    </row>
    <row r="30" ht="16.5" customHeight="1" s="227">
      <c r="A30" s="231" t="n"/>
      <c r="B30" s="263" t="n"/>
      <c r="C30" s="322" t="n"/>
      <c r="D30" s="284" t="inlineStr">
        <is>
          <t xml:space="preserve">　〃　日数</t>
        </is>
      </c>
      <c r="E30" s="340">
        <f>IFERROR(E29/E10*30,"")</f>
        <v/>
      </c>
      <c r="F30" s="286" t="inlineStr">
        <is>
          <t>日</t>
        </is>
      </c>
      <c r="G30" s="340">
        <f>IFERROR(G29/G10*30,"")</f>
        <v/>
      </c>
      <c r="H30" s="286" t="inlineStr">
        <is>
          <t>日</t>
        </is>
      </c>
      <c r="I30" s="341">
        <f>IFERROR(E30-G30,"-")</f>
        <v/>
      </c>
      <c r="J30" s="288" t="inlineStr">
        <is>
          <t>日</t>
        </is>
      </c>
      <c r="K30" s="340">
        <f>IFERROR(K29/K10*30,"")</f>
        <v/>
      </c>
      <c r="L30" s="286" t="inlineStr">
        <is>
          <t>日</t>
        </is>
      </c>
      <c r="M30" s="341">
        <f>IF(K30=0,"",IFERROR(E30-K30,"-"))</f>
        <v/>
      </c>
      <c r="N30" s="286" t="inlineStr">
        <is>
          <t>日</t>
        </is>
      </c>
      <c r="O30" s="289" t="n"/>
      <c r="P30" s="279" t="inlineStr">
        <is>
          <t>15日以下</t>
        </is>
      </c>
      <c r="Q30" s="318" t="n"/>
      <c r="R30" s="319" t="n"/>
      <c r="S30" s="333">
        <f>IF(COUNTIF(Z30:AB30,"○")=3,"３期",IF(COUNTIF(Z30:AB30,"○")=2,"２期",IF(COUNTIF(Z30:AB30,"○")=1,"１期","")))</f>
        <v/>
      </c>
      <c r="T30" s="328">
        <f>IF(E30&gt;=60,"●","")</f>
        <v/>
      </c>
      <c r="U30" s="231" t="n"/>
      <c r="V30" s="263" t="n"/>
      <c r="W30" s="263" t="n"/>
      <c r="X30" s="272" t="n"/>
      <c r="Z30" s="329" t="n"/>
      <c r="AA30" s="329" t="n"/>
      <c r="AB30" s="329" t="n"/>
    </row>
    <row r="31" ht="16.5" customHeight="1" s="227">
      <c r="A31" s="231" t="n"/>
      <c r="B31" s="263" t="n"/>
      <c r="C31" s="273" t="inlineStr">
        <is>
          <t>⑬</t>
        </is>
      </c>
      <c r="D31" s="274" t="inlineStr">
        <is>
          <t>棚卸高</t>
        </is>
      </c>
      <c r="E31" s="343" t="n"/>
      <c r="F31" s="276" t="inlineStr">
        <is>
          <t>千円</t>
        </is>
      </c>
      <c r="G31" s="343" t="n"/>
      <c r="H31" s="276" t="inlineStr">
        <is>
          <t>千円</t>
        </is>
      </c>
      <c r="I31" s="277">
        <f>IFERROR(E31-G31,"-")</f>
        <v/>
      </c>
      <c r="J31" s="278" t="inlineStr">
        <is>
          <t>千円</t>
        </is>
      </c>
      <c r="K31" s="343" t="n"/>
      <c r="L31" s="276" t="inlineStr">
        <is>
          <t>千円</t>
        </is>
      </c>
      <c r="M31" s="277">
        <f>IF(K31=0,"",IFERROR(E31-K31,"-"))</f>
        <v/>
      </c>
      <c r="N31" s="276" t="inlineStr">
        <is>
          <t>千円</t>
        </is>
      </c>
      <c r="O31" s="256" t="n"/>
      <c r="P31" s="257" t="n"/>
      <c r="Q31" s="258" t="n"/>
      <c r="R31" s="259" t="n"/>
      <c r="S31" s="280" t="n"/>
      <c r="T31" s="281" t="n"/>
      <c r="U31" s="231" t="n"/>
      <c r="V31" s="263" t="n"/>
      <c r="W31" s="263" t="n"/>
      <c r="X31" s="272" t="n"/>
    </row>
    <row r="32" ht="16.5" customHeight="1" s="227">
      <c r="A32" s="231" t="n"/>
      <c r="B32" s="263" t="n"/>
      <c r="C32" s="283" t="n"/>
      <c r="D32" s="284" t="inlineStr">
        <is>
          <t xml:space="preserve">　〃　日数</t>
        </is>
      </c>
      <c r="E32" s="340">
        <f>IFERROR(E31/E10*30,"")</f>
        <v/>
      </c>
      <c r="F32" s="286" t="inlineStr">
        <is>
          <t>日</t>
        </is>
      </c>
      <c r="G32" s="340">
        <f>IFERROR(G31/G10*30,"")</f>
        <v/>
      </c>
      <c r="H32" s="286" t="inlineStr">
        <is>
          <t>日</t>
        </is>
      </c>
      <c r="I32" s="341">
        <f>IFERROR(E32-G32,"-")</f>
        <v/>
      </c>
      <c r="J32" s="288" t="inlineStr">
        <is>
          <t>日</t>
        </is>
      </c>
      <c r="K32" s="340">
        <f>IFERROR(K31/K10*30,"")</f>
        <v/>
      </c>
      <c r="L32" s="286" t="inlineStr">
        <is>
          <t>日</t>
        </is>
      </c>
      <c r="M32" s="341">
        <f>IF(K32=0,"",IFERROR(E32-K32,"-"))</f>
        <v/>
      </c>
      <c r="N32" s="286" t="inlineStr">
        <is>
          <t>日</t>
        </is>
      </c>
      <c r="O32" s="289" t="n"/>
      <c r="P32" s="279" t="inlineStr">
        <is>
          <t>30日以下</t>
        </is>
      </c>
      <c r="Q32" s="318" t="n"/>
      <c r="R32" s="319" t="n"/>
      <c r="S32" s="333">
        <f>IF(COUNTIF(Z32:AB32,"○")=3,"３期",IF(COUNTIF(Z32:AB32,"○")=2,"２期",IF(COUNTIF(Z32:AB32,"○")=1,"１期","")))</f>
        <v/>
      </c>
      <c r="T32" s="328">
        <f>IF(E32&gt;=60,"●","")</f>
        <v/>
      </c>
      <c r="U32" s="231" t="n"/>
      <c r="V32" s="263" t="n"/>
      <c r="W32" s="263" t="n"/>
      <c r="X32" s="272" t="n"/>
      <c r="Z32" s="329" t="n"/>
      <c r="AA32" s="329" t="n"/>
      <c r="AB32" s="329" t="n"/>
    </row>
    <row r="33" ht="16.5" customHeight="1" s="227">
      <c r="A33" s="231" t="n"/>
      <c r="B33" s="263" t="n"/>
      <c r="C33" s="273" t="inlineStr">
        <is>
          <t>⑭</t>
        </is>
      </c>
      <c r="D33" s="274" t="inlineStr">
        <is>
          <t>借入金</t>
        </is>
      </c>
      <c r="E33" s="343" t="n"/>
      <c r="F33" s="276" t="inlineStr">
        <is>
          <t>千円</t>
        </is>
      </c>
      <c r="G33" s="343" t="n"/>
      <c r="H33" s="276" t="inlineStr">
        <is>
          <t>千円</t>
        </is>
      </c>
      <c r="I33" s="277">
        <f>IFERROR(E33-G33,"-")</f>
        <v/>
      </c>
      <c r="J33" s="278" t="inlineStr">
        <is>
          <t>千円</t>
        </is>
      </c>
      <c r="K33" s="343" t="n"/>
      <c r="L33" s="276" t="inlineStr">
        <is>
          <t>千円</t>
        </is>
      </c>
      <c r="M33" s="277">
        <f>IF(K33=0,"",IFERROR(E33-K33,"-"))</f>
        <v/>
      </c>
      <c r="N33" s="276" t="inlineStr">
        <is>
          <t>千円</t>
        </is>
      </c>
      <c r="O33" s="256" t="n"/>
      <c r="P33" s="257" t="n"/>
      <c r="Q33" s="258" t="n"/>
      <c r="R33" s="259" t="n"/>
      <c r="S33" s="280" t="n"/>
      <c r="T33" s="281" t="n"/>
      <c r="U33" s="231" t="n"/>
      <c r="V33" s="263" t="n"/>
      <c r="W33" s="282" t="n"/>
      <c r="X33" s="272" t="n"/>
    </row>
    <row r="34" ht="16.5" customHeight="1" s="227">
      <c r="A34" s="231" t="n"/>
      <c r="B34" s="263" t="n"/>
      <c r="C34" s="283" t="n"/>
      <c r="D34" s="284" t="inlineStr">
        <is>
          <t xml:space="preserve">　〃　日数</t>
        </is>
      </c>
      <c r="E34" s="340">
        <f>IFERROR(E33/E10*30,"")</f>
        <v/>
      </c>
      <c r="F34" s="286" t="inlineStr">
        <is>
          <t>日</t>
        </is>
      </c>
      <c r="G34" s="340">
        <f>IFERROR(G33/G10*30,"")</f>
        <v/>
      </c>
      <c r="H34" s="286" t="inlineStr">
        <is>
          <t>日</t>
        </is>
      </c>
      <c r="I34" s="341">
        <f>IFERROR(E34-G34,"-")</f>
        <v/>
      </c>
      <c r="J34" s="288" t="inlineStr">
        <is>
          <t>日</t>
        </is>
      </c>
      <c r="K34" s="340">
        <f>IFERROR(K33/K10*30,"")</f>
        <v/>
      </c>
      <c r="L34" s="286" t="inlineStr">
        <is>
          <t>日</t>
        </is>
      </c>
      <c r="M34" s="341">
        <f>IF(K34=0,"",IFERROR(E34-K34,"-"))</f>
        <v/>
      </c>
      <c r="N34" s="286" t="inlineStr">
        <is>
          <t>日</t>
        </is>
      </c>
      <c r="O34" s="289" t="n"/>
      <c r="P34" s="279" t="inlineStr">
        <is>
          <t>70日以下</t>
        </is>
      </c>
      <c r="Q34" s="318" t="n"/>
      <c r="R34" s="319" t="n"/>
      <c r="S34" s="333" t="n"/>
      <c r="T34" s="328" t="n"/>
      <c r="U34" s="231" t="n"/>
      <c r="V34" s="263" t="n"/>
      <c r="W34" s="295" t="inlineStr">
        <is>
          <t>提案</t>
        </is>
      </c>
      <c r="X34" s="272" t="n"/>
      <c r="Z34" s="329" t="n"/>
      <c r="AA34" s="329" t="n"/>
      <c r="AB34" s="329" t="n"/>
    </row>
    <row r="35" ht="16.5" customHeight="1" s="227">
      <c r="A35" s="231" t="n"/>
      <c r="B35" s="263" t="n"/>
      <c r="C35" s="273" t="inlineStr">
        <is>
          <t>⑮</t>
        </is>
      </c>
      <c r="D35" s="274" t="inlineStr">
        <is>
          <t>自己資本</t>
        </is>
      </c>
      <c r="E35" s="343" t="n"/>
      <c r="F35" s="276" t="inlineStr">
        <is>
          <t>千円</t>
        </is>
      </c>
      <c r="G35" s="343" t="n"/>
      <c r="H35" s="276" t="inlineStr">
        <is>
          <t>千円</t>
        </is>
      </c>
      <c r="I35" s="277">
        <f>IFERROR(E35-G35,"-")</f>
        <v/>
      </c>
      <c r="J35" s="278" t="inlineStr">
        <is>
          <t>千円</t>
        </is>
      </c>
      <c r="K35" s="343" t="n"/>
      <c r="L35" s="276" t="inlineStr">
        <is>
          <t>千円</t>
        </is>
      </c>
      <c r="M35" s="277">
        <f>IF(K35=0,"",IFERROR(E35-K35,"-"))</f>
        <v/>
      </c>
      <c r="N35" s="276" t="inlineStr">
        <is>
          <t>千円</t>
        </is>
      </c>
      <c r="O35" s="256" t="n"/>
      <c r="P35" s="344" t="inlineStr">
        <is>
          <t>負債合計</t>
        </is>
      </c>
      <c r="Q35" s="345" t="n"/>
      <c r="R35" s="346" t="n"/>
      <c r="S35" s="333">
        <f>IF(COUNTIF(Z35:AB35,"○")=3,"３期",IF(COUNTIF(Z35:AB35,"○")=2,"２期",IF(COUNTIF(Z35:AB35,"○")=1,"１期","")))</f>
        <v/>
      </c>
      <c r="T35" s="328">
        <f>IF(E35&lt;0,"●","")</f>
        <v/>
      </c>
      <c r="U35" s="231" t="n"/>
      <c r="V35" s="263" t="n"/>
      <c r="W35" s="263" t="n"/>
      <c r="X35" s="272" t="n"/>
      <c r="Z35" s="329" t="n"/>
      <c r="AA35" s="329" t="n"/>
      <c r="AB35" s="329" t="n"/>
    </row>
    <row r="36" ht="16.5" customHeight="1" s="227">
      <c r="A36" s="231" t="n"/>
      <c r="B36" s="263" t="n"/>
      <c r="C36" s="283" t="n"/>
      <c r="D36" s="284" t="inlineStr">
        <is>
          <t xml:space="preserve">　〃　日数</t>
        </is>
      </c>
      <c r="E36" s="340">
        <f>IFERROR(E35/E10*30,"")</f>
        <v/>
      </c>
      <c r="F36" s="286" t="inlineStr">
        <is>
          <t>日</t>
        </is>
      </c>
      <c r="G36" s="340">
        <f>IFERROR(G35/G10*30,"")</f>
        <v/>
      </c>
      <c r="H36" s="286" t="inlineStr">
        <is>
          <t>日</t>
        </is>
      </c>
      <c r="I36" s="341">
        <f>IFERROR(E36-G36,"-")</f>
        <v/>
      </c>
      <c r="J36" s="288" t="inlineStr">
        <is>
          <t>日</t>
        </is>
      </c>
      <c r="K36" s="340">
        <f>IFERROR(K35/K10*30,"")</f>
        <v/>
      </c>
      <c r="L36" s="286" t="inlineStr">
        <is>
          <t>日</t>
        </is>
      </c>
      <c r="M36" s="341">
        <f>IF(K36=0,"",IFERROR(E36-K36,"-"))</f>
        <v/>
      </c>
      <c r="N36" s="286" t="inlineStr">
        <is>
          <t>日</t>
        </is>
      </c>
      <c r="O36" s="289" t="n"/>
      <c r="P36" s="347" t="inlineStr">
        <is>
          <t>以上確保</t>
        </is>
      </c>
      <c r="Q36" s="348" t="n"/>
      <c r="R36" s="349" t="n"/>
      <c r="S36" s="350" t="n"/>
      <c r="T36" s="351" t="n"/>
      <c r="U36" s="231" t="n"/>
      <c r="V36" s="263" t="n"/>
      <c r="W36" s="263" t="n"/>
      <c r="X36" s="272" t="n"/>
    </row>
    <row r="37" ht="16.5" customHeight="1" s="227">
      <c r="A37" s="231" t="n"/>
      <c r="B37" s="263" t="n"/>
      <c r="C37" s="273" t="inlineStr">
        <is>
          <t>⑯</t>
        </is>
      </c>
      <c r="D37" s="297" t="inlineStr">
        <is>
          <t>未回収履歴</t>
        </is>
      </c>
      <c r="E37" s="330" t="n"/>
      <c r="F37" s="299" t="inlineStr">
        <is>
          <t>回</t>
        </is>
      </c>
      <c r="G37" s="330" t="n"/>
      <c r="H37" s="299" t="inlineStr">
        <is>
          <t>回</t>
        </is>
      </c>
      <c r="I37" s="300" t="n"/>
      <c r="J37" s="301" t="inlineStr">
        <is>
          <t>回</t>
        </is>
      </c>
      <c r="K37" s="330" t="n"/>
      <c r="L37" s="299" t="inlineStr">
        <is>
          <t>回</t>
        </is>
      </c>
      <c r="M37" s="300">
        <f>IF(K37=0,"",IFERROR(E37-K37,"-"))</f>
        <v/>
      </c>
      <c r="N37" s="299" t="inlineStr">
        <is>
          <t>回</t>
        </is>
      </c>
      <c r="O37" s="256" t="n"/>
      <c r="P37" s="257" t="n"/>
      <c r="Q37" s="258" t="n"/>
      <c r="R37" s="259" t="n"/>
      <c r="S37" s="352">
        <f>IF(COUNTIF(Z37:AB37,"○")=3,"３期",IF(COUNTIF(Z37:AB37,"○")=2,"２期",IF(COUNTIF(Z37:AB37,"○")=1,"１期","")))</f>
        <v/>
      </c>
      <c r="T37" s="328">
        <f>IF(E37&gt;0,"●","")</f>
        <v/>
      </c>
      <c r="U37" s="231" t="n"/>
      <c r="V37" s="263" t="n"/>
      <c r="W37" s="263" t="n"/>
      <c r="X37" s="272" t="n"/>
      <c r="Z37" s="329" t="n"/>
      <c r="AA37" s="329" t="n"/>
      <c r="AB37" s="329" t="n"/>
    </row>
    <row r="38" ht="16.5" customHeight="1" s="227" thickBot="1">
      <c r="A38" s="231" t="n"/>
      <c r="B38" s="304" t="n"/>
      <c r="C38" s="353" t="inlineStr">
        <is>
          <t>⑰</t>
        </is>
      </c>
      <c r="D38" s="305" t="inlineStr">
        <is>
          <t>決算書（ＢＳ）</t>
        </is>
      </c>
      <c r="E38" s="354" t="n"/>
      <c r="F38" s="307" t="n"/>
      <c r="G38" s="354" t="n"/>
      <c r="H38" s="307" t="n"/>
      <c r="I38" s="308" t="n"/>
      <c r="J38" s="309" t="n"/>
      <c r="K38" s="354" t="n"/>
      <c r="L38" s="307" t="n"/>
      <c r="M38" s="355">
        <f>IF(K38=0,"",IFERROR(E38-K38,"-"))</f>
        <v/>
      </c>
      <c r="N38" s="307" t="n"/>
      <c r="O38" s="289" t="n"/>
      <c r="P38" s="356" t="n"/>
      <c r="Q38" s="357" t="n"/>
      <c r="R38" s="259" t="n"/>
      <c r="S38" s="358">
        <f>IF(E38="×","無し","")</f>
        <v/>
      </c>
      <c r="T38" s="359">
        <f>IF(E38="○","","●")</f>
        <v/>
      </c>
      <c r="U38" s="231" t="n"/>
      <c r="V38" s="304" t="n"/>
      <c r="W38" s="304" t="n"/>
      <c r="X38" s="312" t="n"/>
    </row>
    <row r="39" ht="16.5" customHeight="1" s="227" thickBot="1">
      <c r="A39" s="231" t="n"/>
      <c r="B39" s="231" t="n"/>
      <c r="C39" s="231" t="n"/>
      <c r="D39" s="360" t="n"/>
      <c r="E39" s="231" t="n"/>
      <c r="F39" s="231" t="n"/>
      <c r="G39" s="231" t="n"/>
      <c r="H39" s="231" t="n"/>
      <c r="I39" s="231" t="n"/>
      <c r="J39" s="231" t="n"/>
      <c r="K39" s="361" t="inlineStr">
        <is>
          <t>（※２・・女性・ひまわりさんは、0.5人でｶｳﾝﾄしてます）</t>
        </is>
      </c>
      <c r="L39" s="231" t="n"/>
      <c r="M39" s="231" t="n"/>
      <c r="N39" s="231" t="n"/>
      <c r="O39" s="231" t="n"/>
      <c r="P39" s="231" t="n"/>
      <c r="Q39" s="231" t="n"/>
      <c r="R39" s="231" t="n"/>
      <c r="S39" s="231" t="n"/>
      <c r="T39" s="231" t="n"/>
      <c r="U39" s="231" t="n"/>
      <c r="V39" s="231" t="n"/>
      <c r="W39" s="231" t="n"/>
      <c r="X39" s="231" t="n"/>
    </row>
    <row r="40" ht="16.5" customHeight="1" s="227" thickBot="1">
      <c r="A40" s="231" t="n"/>
      <c r="B40" s="362" t="inlineStr">
        <is>
          <t>顧客稼働　　　　　　状況</t>
        </is>
      </c>
      <c r="C40" s="240" t="n"/>
      <c r="D40" s="52" t="inlineStr">
        <is>
          <t>年度</t>
        </is>
      </c>
      <c r="E40" s="97" t="inlineStr">
        <is>
          <t>2022年度</t>
        </is>
      </c>
      <c r="F40" s="363" t="inlineStr">
        <is>
          <t>前年比</t>
        </is>
      </c>
      <c r="G40" s="97" t="inlineStr">
        <is>
          <t>2021年度</t>
        </is>
      </c>
      <c r="H40" s="363" t="inlineStr">
        <is>
          <t>前年比</t>
        </is>
      </c>
      <c r="I40" s="99" t="inlineStr">
        <is>
          <t>2020年度</t>
        </is>
      </c>
      <c r="J40" s="363" t="inlineStr">
        <is>
          <t>前年比</t>
        </is>
      </c>
      <c r="K40" s="99" t="inlineStr">
        <is>
          <t>2019年度</t>
        </is>
      </c>
      <c r="L40" s="363" t="inlineStr">
        <is>
          <t>前年比</t>
        </is>
      </c>
      <c r="M40" s="99" t="inlineStr">
        <is>
          <t>2018年度</t>
        </is>
      </c>
      <c r="N40" s="364" t="inlineStr">
        <is>
          <t>前年比</t>
        </is>
      </c>
      <c r="O40" s="365" t="n"/>
      <c r="P40" s="231" t="n"/>
      <c r="Q40" s="231" t="n"/>
      <c r="R40" s="231" t="n"/>
      <c r="S40" s="53" t="n"/>
      <c r="T40" s="366" t="n"/>
      <c r="U40" s="231" t="n"/>
      <c r="V40" s="367" t="inlineStr">
        <is>
          <t>稼働客</t>
        </is>
      </c>
      <c r="W40" s="368" t="inlineStr">
        <is>
          <t>提案</t>
        </is>
      </c>
      <c r="X40" s="272" t="n"/>
    </row>
    <row r="41" ht="16.5" customHeight="1" s="227">
      <c r="A41" s="231" t="n"/>
      <c r="B41" s="369" t="n"/>
      <c r="C41" s="370" t="n"/>
      <c r="D41" s="55" t="inlineStr">
        <is>
          <t>直近一年</t>
        </is>
      </c>
      <c r="E41" s="154" t="n"/>
      <c r="F41" s="101" t="n"/>
      <c r="G41" s="156" t="n"/>
      <c r="H41" s="101" t="n"/>
      <c r="I41" s="156" t="n"/>
      <c r="J41" s="101" t="n"/>
      <c r="K41" s="156" t="n"/>
      <c r="L41" s="101" t="n"/>
      <c r="M41" s="156" t="n"/>
      <c r="N41" s="104" t="n"/>
      <c r="O41" s="92" t="n"/>
      <c r="P41" s="231" t="n"/>
      <c r="Q41" s="231" t="n"/>
      <c r="R41" s="231" t="n"/>
      <c r="S41" s="57" t="n"/>
      <c r="T41" s="56" t="n"/>
      <c r="U41" s="231" t="n"/>
      <c r="V41" s="263" t="n"/>
      <c r="W41" s="371" t="n"/>
      <c r="X41" s="272" t="n"/>
    </row>
    <row r="42" ht="16.5" customHeight="1" s="227">
      <c r="A42" s="231" t="n"/>
      <c r="B42" s="369" t="n"/>
      <c r="C42" s="370" t="n"/>
      <c r="D42" s="58" t="inlineStr">
        <is>
          <t>５年稼働客</t>
        </is>
      </c>
      <c r="E42" s="154" t="n"/>
      <c r="F42" s="102" t="n"/>
      <c r="G42" s="157" t="n"/>
      <c r="H42" s="102" t="n"/>
      <c r="I42" s="157" t="n"/>
      <c r="J42" s="102" t="n"/>
      <c r="K42" s="157" t="n"/>
      <c r="L42" s="102" t="n"/>
      <c r="M42" s="157" t="n"/>
      <c r="N42" s="105" t="n"/>
      <c r="O42" s="92" t="n"/>
      <c r="P42" s="231" t="n"/>
      <c r="Q42" s="231" t="n"/>
      <c r="R42" s="231" t="n"/>
      <c r="S42" s="60" t="n"/>
      <c r="T42" s="59" t="n"/>
      <c r="U42" s="231" t="n"/>
      <c r="V42" s="263" t="n"/>
      <c r="W42" s="371" t="n"/>
      <c r="X42" s="272" t="n"/>
    </row>
    <row r="43" ht="16.5" customHeight="1" s="227">
      <c r="A43" s="231" t="n"/>
      <c r="B43" s="369" t="n"/>
      <c r="C43" s="370" t="n"/>
      <c r="D43" s="58" t="inlineStr">
        <is>
          <t>ＡＢ世帯数</t>
        </is>
      </c>
      <c r="E43" s="154" t="n"/>
      <c r="F43" s="102" t="n"/>
      <c r="G43" s="157" t="n"/>
      <c r="H43" s="102" t="n"/>
      <c r="I43" s="157" t="n"/>
      <c r="J43" s="102" t="n"/>
      <c r="K43" s="157" t="n"/>
      <c r="L43" s="102" t="n"/>
      <c r="M43" s="157" t="n"/>
      <c r="N43" s="105" t="n"/>
      <c r="O43" s="92" t="n"/>
      <c r="P43" s="231" t="n"/>
      <c r="Q43" s="231" t="n"/>
      <c r="R43" s="231" t="n"/>
      <c r="S43" s="60" t="n"/>
      <c r="T43" s="59" t="n"/>
      <c r="U43" s="231" t="n"/>
      <c r="V43" s="263" t="n"/>
      <c r="W43" s="371" t="n"/>
      <c r="X43" s="272" t="n"/>
    </row>
    <row r="44" ht="16.5" customHeight="1" s="227" thickBot="1">
      <c r="A44" s="231" t="n"/>
      <c r="B44" s="235" t="n"/>
      <c r="C44" s="245" t="n"/>
      <c r="D44" s="61" t="inlineStr">
        <is>
          <t>新規客</t>
        </is>
      </c>
      <c r="E44" s="155" t="n"/>
      <c r="F44" s="103" t="n"/>
      <c r="G44" s="158" t="n"/>
      <c r="H44" s="103" t="n"/>
      <c r="I44" s="158" t="n"/>
      <c r="J44" s="103" t="n"/>
      <c r="K44" s="158" t="n"/>
      <c r="L44" s="103" t="n"/>
      <c r="M44" s="158" t="n"/>
      <c r="N44" s="106" t="n"/>
      <c r="O44" s="92" t="n"/>
      <c r="P44" s="231" t="n"/>
      <c r="Q44" s="231" t="n"/>
      <c r="R44" s="231" t="n"/>
      <c r="S44" s="63" t="n"/>
      <c r="T44" s="62" t="n"/>
      <c r="U44" s="231" t="n"/>
      <c r="V44" s="304" t="n"/>
      <c r="W44" s="237" t="n"/>
      <c r="X44" s="312" t="n"/>
    </row>
    <row r="45" ht="16.5" customHeight="1" s="227" thickBot="1">
      <c r="A45" s="231" t="n"/>
      <c r="B45" s="231" t="n"/>
      <c r="C45" s="231" t="n"/>
      <c r="D45" s="360" t="n"/>
      <c r="E45" s="231" t="n"/>
      <c r="F45" s="231" t="n"/>
      <c r="G45" s="231" t="n"/>
      <c r="H45" s="231" t="n"/>
      <c r="I45" s="231" t="n"/>
      <c r="J45" s="231" t="n"/>
      <c r="K45" s="361" t="n"/>
      <c r="L45" s="231" t="n"/>
      <c r="M45" s="231" t="n"/>
      <c r="N45" s="231" t="n"/>
      <c r="O45" s="231" t="n"/>
      <c r="P45" s="231" t="n"/>
      <c r="Q45" s="231" t="n"/>
      <c r="R45" s="231" t="n"/>
      <c r="S45" s="231" t="n"/>
      <c r="T45" s="231" t="n"/>
      <c r="U45" s="231" t="n"/>
      <c r="V45" s="231" t="n"/>
      <c r="W45" s="231" t="n"/>
      <c r="X45" s="231" t="n"/>
    </row>
    <row r="46" ht="16.5" customHeight="1" s="227" thickBot="1">
      <c r="A46" s="231" t="n"/>
      <c r="B46" s="249" t="inlineStr">
        <is>
          <t>【経営談義報告書】</t>
        </is>
      </c>
      <c r="C46" s="372" t="n"/>
      <c r="D46" s="372" t="n"/>
      <c r="E46" s="372" t="n"/>
      <c r="F46" s="372" t="n"/>
      <c r="G46" s="372" t="n"/>
      <c r="H46" s="372" t="n"/>
      <c r="I46" s="372" t="n"/>
      <c r="J46" s="372" t="n"/>
      <c r="K46" s="372" t="n"/>
      <c r="L46" s="372" t="n"/>
      <c r="M46" s="372" t="n"/>
      <c r="N46" s="373" t="n"/>
      <c r="O46" s="374" t="n"/>
      <c r="P46" s="231" t="n"/>
      <c r="Q46" s="231" t="n"/>
      <c r="R46" s="231" t="n"/>
      <c r="S46" s="375" t="inlineStr">
        <is>
          <t>課題</t>
        </is>
      </c>
      <c r="T46" s="376">
        <f>COUNTIF(T9:T38,"●")</f>
        <v/>
      </c>
      <c r="U46" s="231" t="n"/>
      <c r="V46" s="377" t="inlineStr">
        <is>
          <t>実施日</t>
        </is>
      </c>
      <c r="W46" s="234" t="n"/>
      <c r="X46" s="378" t="n"/>
    </row>
    <row r="47" ht="16.5" customHeight="1" s="227" thickBot="1">
      <c r="A47" s="231" t="n"/>
      <c r="B47" s="379" t="n"/>
      <c r="C47" s="380" t="n"/>
      <c r="D47" s="380" t="n"/>
      <c r="E47" s="380" t="n"/>
      <c r="F47" s="380" t="n"/>
      <c r="G47" s="380" t="n"/>
      <c r="H47" s="380" t="n"/>
      <c r="I47" s="380" t="n"/>
      <c r="J47" s="380" t="n"/>
      <c r="K47" s="380" t="n"/>
      <c r="L47" s="380" t="n"/>
      <c r="M47" s="380" t="n"/>
      <c r="N47" s="381" t="n"/>
      <c r="O47" s="382" t="n"/>
      <c r="P47" s="231" t="n"/>
      <c r="Q47" s="231" t="n"/>
      <c r="R47" s="231" t="n"/>
      <c r="S47" s="231" t="n"/>
      <c r="T47" s="231" t="n"/>
      <c r="U47" s="231" t="n"/>
      <c r="V47" s="383" t="n"/>
      <c r="W47" s="384" t="n"/>
      <c r="X47" s="385" t="n"/>
    </row>
    <row r="48" ht="16.5" customHeight="1" s="227">
      <c r="A48" s="231" t="n"/>
      <c r="B48" s="379" t="n"/>
      <c r="C48" s="380" t="n"/>
      <c r="D48" s="380" t="n"/>
      <c r="E48" s="380" t="n"/>
      <c r="F48" s="380" t="n"/>
      <c r="G48" s="380" t="n"/>
      <c r="H48" s="380" t="n"/>
      <c r="I48" s="380" t="n"/>
      <c r="J48" s="380" t="n"/>
      <c r="K48" s="380" t="n"/>
      <c r="L48" s="380" t="n"/>
      <c r="M48" s="380" t="n"/>
      <c r="N48" s="381" t="n"/>
      <c r="O48" s="382" t="n"/>
      <c r="P48" s="231" t="n"/>
      <c r="Q48" s="231" t="n"/>
      <c r="R48" s="231" t="n"/>
      <c r="S48" s="386" t="inlineStr">
        <is>
          <t>上司</t>
        </is>
      </c>
      <c r="T48" s="387" t="n"/>
      <c r="U48" s="231" t="n"/>
      <c r="V48" s="388" t="inlineStr">
        <is>
          <t>場　所</t>
        </is>
      </c>
      <c r="W48" s="389" t="n"/>
      <c r="X48" s="381" t="n"/>
    </row>
    <row r="49" ht="16.5" customHeight="1" s="227">
      <c r="A49" s="231" t="n"/>
      <c r="B49" s="379" t="n"/>
      <c r="C49" s="380" t="n"/>
      <c r="D49" s="380" t="n"/>
      <c r="E49" s="380" t="n"/>
      <c r="F49" s="380" t="n"/>
      <c r="G49" s="380" t="n"/>
      <c r="H49" s="380" t="n"/>
      <c r="I49" s="380" t="n"/>
      <c r="J49" s="380" t="n"/>
      <c r="K49" s="380" t="n"/>
      <c r="L49" s="380" t="n"/>
      <c r="M49" s="380" t="n"/>
      <c r="N49" s="381" t="n"/>
      <c r="O49" s="382" t="n"/>
      <c r="P49" s="231" t="n"/>
      <c r="Q49" s="231" t="n"/>
      <c r="R49" s="231" t="n"/>
      <c r="S49" s="390" t="n"/>
      <c r="T49" s="391" t="n"/>
      <c r="U49" s="231" t="n"/>
      <c r="V49" s="383" t="n"/>
      <c r="W49" s="384" t="n"/>
      <c r="X49" s="392" t="n"/>
    </row>
    <row r="50" ht="16.5" customHeight="1" s="227">
      <c r="A50" s="231" t="n"/>
      <c r="B50" s="379" t="n"/>
      <c r="C50" s="380" t="n"/>
      <c r="D50" s="380" t="n"/>
      <c r="E50" s="380" t="n"/>
      <c r="F50" s="380" t="n"/>
      <c r="G50" s="380" t="n"/>
      <c r="H50" s="380" t="n"/>
      <c r="I50" s="380" t="n"/>
      <c r="J50" s="380" t="n"/>
      <c r="K50" s="380" t="n"/>
      <c r="L50" s="380" t="n"/>
      <c r="M50" s="380" t="n"/>
      <c r="N50" s="381" t="n"/>
      <c r="O50" s="382" t="n"/>
      <c r="P50" s="231" t="n"/>
      <c r="Q50" s="231" t="n"/>
      <c r="R50" s="231" t="n"/>
      <c r="S50" s="393" t="inlineStr">
        <is>
          <t>印</t>
        </is>
      </c>
      <c r="T50" s="391" t="n"/>
      <c r="U50" s="231" t="n"/>
      <c r="V50" s="388" t="inlineStr">
        <is>
          <t>先　方</t>
        </is>
      </c>
      <c r="W50" s="389" t="n"/>
      <c r="X50" s="381" t="n"/>
    </row>
    <row r="51" ht="16.5" customHeight="1" s="227" thickBot="1">
      <c r="A51" s="231" t="n"/>
      <c r="B51" s="379" t="n"/>
      <c r="C51" s="380" t="n"/>
      <c r="D51" s="380" t="n"/>
      <c r="E51" s="380" t="n"/>
      <c r="F51" s="380" t="n"/>
      <c r="G51" s="380" t="n"/>
      <c r="H51" s="380" t="n"/>
      <c r="I51" s="380" t="n"/>
      <c r="J51" s="380" t="n"/>
      <c r="K51" s="380" t="n"/>
      <c r="L51" s="380" t="n"/>
      <c r="M51" s="380" t="n"/>
      <c r="N51" s="381" t="n"/>
      <c r="O51" s="382" t="n"/>
      <c r="P51" s="231" t="n"/>
      <c r="Q51" s="231" t="n"/>
      <c r="R51" s="231" t="n"/>
      <c r="S51" s="394" t="n"/>
      <c r="T51" s="395" t="n"/>
      <c r="U51" s="231" t="n"/>
      <c r="V51" s="383" t="n"/>
      <c r="W51" s="384" t="n"/>
      <c r="X51" s="392" t="n"/>
    </row>
    <row r="52" ht="16.5" customHeight="1" s="227">
      <c r="A52" s="231" t="n"/>
      <c r="B52" s="379" t="n"/>
      <c r="C52" s="380" t="n"/>
      <c r="D52" s="380" t="n"/>
      <c r="E52" s="380" t="n"/>
      <c r="F52" s="380" t="n"/>
      <c r="G52" s="380" t="n"/>
      <c r="H52" s="380" t="n"/>
      <c r="I52" s="380" t="n"/>
      <c r="J52" s="380" t="n"/>
      <c r="K52" s="380" t="n"/>
      <c r="L52" s="380" t="n"/>
      <c r="M52" s="380" t="n"/>
      <c r="N52" s="381" t="n"/>
      <c r="O52" s="382" t="n"/>
      <c r="P52" s="231" t="n"/>
      <c r="Q52" s="231" t="n"/>
      <c r="R52" s="231" t="n"/>
      <c r="S52" s="386" t="inlineStr">
        <is>
          <t>担当</t>
        </is>
      </c>
      <c r="T52" s="387" t="n"/>
      <c r="U52" s="231" t="n"/>
      <c r="V52" s="388" t="inlineStr">
        <is>
          <t>当　方</t>
        </is>
      </c>
      <c r="W52" s="389" t="n"/>
      <c r="X52" s="381" t="n"/>
    </row>
    <row r="53" ht="16.5" customHeight="1" s="227">
      <c r="A53" s="231" t="n"/>
      <c r="B53" s="379" t="n"/>
      <c r="C53" s="380" t="n"/>
      <c r="D53" s="380" t="n"/>
      <c r="E53" s="380" t="n"/>
      <c r="F53" s="380" t="n"/>
      <c r="G53" s="380" t="n"/>
      <c r="H53" s="380" t="n"/>
      <c r="I53" s="380" t="n"/>
      <c r="J53" s="380" t="n"/>
      <c r="K53" s="380" t="n"/>
      <c r="L53" s="380" t="n"/>
      <c r="M53" s="380" t="n"/>
      <c r="N53" s="381" t="n"/>
      <c r="O53" s="382" t="n"/>
      <c r="P53" s="231" t="n"/>
      <c r="Q53" s="231" t="n"/>
      <c r="R53" s="231" t="n"/>
      <c r="S53" s="390" t="n"/>
      <c r="T53" s="391" t="n"/>
      <c r="U53" s="231" t="n"/>
      <c r="V53" s="383" t="n"/>
      <c r="W53" s="384" t="n"/>
      <c r="X53" s="392" t="n"/>
    </row>
    <row r="54" ht="16.5" customHeight="1" s="227">
      <c r="A54" s="231" t="n"/>
      <c r="B54" s="379" t="n"/>
      <c r="C54" s="380" t="n"/>
      <c r="D54" s="380" t="n"/>
      <c r="E54" s="380" t="n"/>
      <c r="F54" s="380" t="n"/>
      <c r="G54" s="380" t="n"/>
      <c r="H54" s="380" t="n"/>
      <c r="I54" s="380" t="n"/>
      <c r="J54" s="380" t="n"/>
      <c r="K54" s="380" t="n"/>
      <c r="L54" s="380" t="n"/>
      <c r="M54" s="380" t="n"/>
      <c r="N54" s="381" t="n"/>
      <c r="O54" s="382" t="n"/>
      <c r="P54" s="231" t="n"/>
      <c r="Q54" s="231" t="n"/>
      <c r="R54" s="231" t="n"/>
      <c r="S54" s="393" t="inlineStr">
        <is>
          <t>印</t>
        </is>
      </c>
      <c r="T54" s="391" t="n"/>
      <c r="U54" s="231" t="n"/>
      <c r="V54" s="396" t="inlineStr">
        <is>
          <t>備　考</t>
        </is>
      </c>
      <c r="W54" s="389" t="n"/>
      <c r="X54" s="381" t="n"/>
    </row>
    <row r="55" ht="16.5" customHeight="1" s="227" thickBot="1">
      <c r="A55" s="231" t="n"/>
      <c r="B55" s="397" t="n"/>
      <c r="C55" s="398" t="n"/>
      <c r="D55" s="398" t="n"/>
      <c r="E55" s="398" t="n"/>
      <c r="F55" s="398" t="n"/>
      <c r="G55" s="398" t="n"/>
      <c r="H55" s="398" t="n"/>
      <c r="I55" s="398" t="n"/>
      <c r="J55" s="398" t="n"/>
      <c r="K55" s="398" t="n"/>
      <c r="L55" s="398" t="n"/>
      <c r="M55" s="398" t="n"/>
      <c r="N55" s="399" t="n"/>
      <c r="O55" s="382" t="n"/>
      <c r="P55" s="231" t="n"/>
      <c r="Q55" s="231" t="n"/>
      <c r="R55" s="231" t="n"/>
      <c r="S55" s="394" t="n"/>
      <c r="T55" s="395" t="n"/>
      <c r="U55" s="231" t="n"/>
      <c r="V55" s="235" t="n"/>
      <c r="W55" s="237" t="n"/>
      <c r="X55" s="399" t="n"/>
    </row>
  </sheetData>
  <mergeCells count="46">
    <mergeCell ref="C33:C34"/>
    <mergeCell ref="W12:W14"/>
    <mergeCell ref="C29:C30"/>
    <mergeCell ref="V54:W55"/>
    <mergeCell ref="G8:H8"/>
    <mergeCell ref="W9:W11"/>
    <mergeCell ref="B7:D8"/>
    <mergeCell ref="E8:F8"/>
    <mergeCell ref="W15:W20"/>
    <mergeCell ref="C35:C36"/>
    <mergeCell ref="S8:T8"/>
    <mergeCell ref="S7:T7"/>
    <mergeCell ref="V50:W51"/>
    <mergeCell ref="C25:C26"/>
    <mergeCell ref="C21:C22"/>
    <mergeCell ref="W27:W33"/>
    <mergeCell ref="C11:C12"/>
    <mergeCell ref="C31:C32"/>
    <mergeCell ref="P7:P8"/>
    <mergeCell ref="V52:W53"/>
    <mergeCell ref="B46:N46"/>
    <mergeCell ref="V9:V14"/>
    <mergeCell ref="C23:C24"/>
    <mergeCell ref="V46:W47"/>
    <mergeCell ref="K8:L8"/>
    <mergeCell ref="W40:W44"/>
    <mergeCell ref="C17:C18"/>
    <mergeCell ref="C27:C28"/>
    <mergeCell ref="W34:W38"/>
    <mergeCell ref="W21:W26"/>
    <mergeCell ref="B27:B38"/>
    <mergeCell ref="V48:W49"/>
    <mergeCell ref="Q7:Q8"/>
    <mergeCell ref="C13:C14"/>
    <mergeCell ref="C19:C20"/>
    <mergeCell ref="B9:B14"/>
    <mergeCell ref="I7:J8"/>
    <mergeCell ref="V40:V44"/>
    <mergeCell ref="M7:N8"/>
    <mergeCell ref="V15:V26"/>
    <mergeCell ref="B40:C44"/>
    <mergeCell ref="C15:C16"/>
    <mergeCell ref="V27:V38"/>
    <mergeCell ref="G4:L5"/>
    <mergeCell ref="B15:B26"/>
    <mergeCell ref="V7:X8"/>
  </mergeCells>
  <conditionalFormatting sqref="E11">
    <cfRule type="expression" priority="5" dxfId="0">
      <formula>E11="人員未入力"</formula>
    </cfRule>
  </conditionalFormatting>
  <conditionalFormatting sqref="G11">
    <cfRule type="expression" priority="2" dxfId="0">
      <formula>G11="人員未入力"</formula>
    </cfRule>
  </conditionalFormatting>
  <conditionalFormatting sqref="K11">
    <cfRule type="expression" priority="1" dxfId="0">
      <formula>K11="人員未入力"</formula>
    </cfRule>
  </conditionalFormatting>
  <dataValidations disablePrompts="1" count="1">
    <dataValidation sqref="X1" showDropDown="0" showInputMessage="1" showErrorMessage="1" allowBlank="1" type="list">
      <formula1>$AD$1:$AD$2</formula1>
    </dataValidation>
  </dataValidations>
  <printOptions horizontalCentered="1" verticalCentered="1"/>
  <pageMargins left="0.3937007874015748" right="0.3937007874015748" top="0.3937007874015748" bottom="0.3937007874015748" header="0.1181102362204725" footer="0.1181102362204725"/>
  <pageSetup orientation="landscape" paperSize="9" scale="67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tabColor rgb="FF00B0F0"/>
    <outlinePr summaryBelow="1" summaryRight="1"/>
    <pageSetUpPr fitToPage="1"/>
  </sheetPr>
  <dimension ref="A1:AD55"/>
  <sheetViews>
    <sheetView showGridLines="0" tabSelected="1" zoomScale="50" zoomScaleNormal="50" workbookViewId="0">
      <pane xSplit="4" ySplit="8" topLeftCell="E9" activePane="bottomRight" state="frozen"/>
      <selection pane="topRight" activeCell="E1" sqref="E1"/>
      <selection pane="bottomLeft" activeCell="A7" sqref="A7"/>
      <selection pane="bottomRight" activeCell="AB12" sqref="AB12"/>
    </sheetView>
  </sheetViews>
  <sheetFormatPr baseColWidth="8" defaultColWidth="9" defaultRowHeight="16.5" customHeight="1"/>
  <cols>
    <col width="1.59765625" customWidth="1" style="226" min="1" max="1"/>
    <col width="6.59765625" customWidth="1" style="226" min="2" max="2"/>
    <col width="3.8984375" bestFit="1" customWidth="1" style="226" min="3" max="3"/>
    <col width="15.59765625" bestFit="1" customWidth="1" style="226" min="4" max="4"/>
    <col width="10.59765625" customWidth="1" style="226" min="5" max="5"/>
    <col width="5.09765625" customWidth="1" style="226" min="6" max="6"/>
    <col width="10.59765625" customWidth="1" style="226" min="7" max="7"/>
    <col width="5.09765625" customWidth="1" style="226" min="8" max="8"/>
    <col width="10.59765625" customWidth="1" style="226" min="9" max="9"/>
    <col width="5.09765625" customWidth="1" style="226" min="10" max="10"/>
    <col width="10.59765625" customWidth="1" style="226" min="11" max="11"/>
    <col width="5.09765625" customWidth="1" style="226" min="12" max="12"/>
    <col width="10.59765625" customWidth="1" style="226" min="13" max="13"/>
    <col width="5.09765625" customWidth="1" style="226" min="14" max="14"/>
    <col width="0.59765625" customWidth="1" style="226" min="15" max="15"/>
    <col width="7.3984375" customWidth="1" style="226" min="16" max="17"/>
    <col width="0.59765625" customWidth="1" style="226" min="18" max="18"/>
    <col hidden="1" width="6.59765625" customWidth="1" style="226" min="19" max="19"/>
    <col hidden="1" width="3.8984375" customWidth="1" style="226" min="20" max="20"/>
    <col hidden="1" width="1.59765625" customWidth="1" style="226" min="21" max="21"/>
    <col hidden="1" width="6.59765625" customWidth="1" style="226" min="22" max="22"/>
    <col hidden="1" width="3.09765625" customWidth="1" style="226" min="23" max="23"/>
    <col hidden="1" width="27.59765625" customWidth="1" style="226" min="24" max="24"/>
    <col width="1.59765625" customWidth="1" style="226" min="25" max="25"/>
    <col width="9" customWidth="1" style="226" min="26" max="16384"/>
  </cols>
  <sheetData>
    <row r="1" ht="21.75" customHeight="1" s="227">
      <c r="W1" s="228" t="inlineStr">
        <is>
          <t>印刷範囲の設定</t>
        </is>
      </c>
      <c r="X1" s="229" t="inlineStr">
        <is>
          <t>報告書</t>
        </is>
      </c>
      <c r="AD1" s="230" t="inlineStr">
        <is>
          <t>経営談義資料</t>
        </is>
      </c>
    </row>
    <row r="2" ht="3" customHeight="1" s="227">
      <c r="AD2" s="230" t="inlineStr">
        <is>
          <t>報告書</t>
        </is>
      </c>
    </row>
    <row r="3" ht="16.5" customHeight="1" s="227" thickBot="1">
      <c r="A3" s="231" t="n"/>
      <c r="B3" s="231" t="n"/>
      <c r="C3" s="231" t="n"/>
      <c r="D3" s="231" t="n"/>
      <c r="E3" s="231" t="n"/>
      <c r="F3" s="231" t="n"/>
      <c r="G3" s="231" t="n"/>
      <c r="H3" s="231" t="n"/>
      <c r="I3" s="231" t="n"/>
      <c r="J3" s="231" t="n"/>
      <c r="K3" s="231" t="n"/>
      <c r="L3" s="231" t="n"/>
      <c r="M3" s="231" t="n"/>
      <c r="N3" s="231" t="n"/>
      <c r="O3" s="231" t="n"/>
      <c r="P3" s="231" t="n"/>
      <c r="Q3" s="231" t="n"/>
      <c r="R3" s="231" t="n"/>
      <c r="S3" s="231" t="n"/>
      <c r="T3" s="231" t="n"/>
      <c r="U3" s="231" t="n"/>
      <c r="V3" s="231" t="n"/>
      <c r="W3" s="231" t="n"/>
      <c r="X3" s="231" t="n"/>
    </row>
    <row r="4" ht="16.5" customFormat="1" customHeight="1" s="4">
      <c r="A4" s="5" t="n"/>
      <c r="B4" s="5" t="inlineStr">
        <is>
          <t>店コード</t>
        </is>
      </c>
      <c r="C4" s="5" t="n"/>
      <c r="D4" s="140" t="n">
        <v>11749005</v>
      </c>
      <c r="E4" s="5" t="n"/>
      <c r="F4" s="5" t="n"/>
      <c r="G4" s="232" t="inlineStr">
        <is>
          <t>経営談義資料</t>
        </is>
      </c>
      <c r="H4" s="233" t="n"/>
      <c r="I4" s="233" t="n"/>
      <c r="J4" s="233" t="n"/>
      <c r="K4" s="233" t="n"/>
      <c r="L4" s="234" t="n"/>
      <c r="M4" s="5" t="n"/>
      <c r="N4" s="5" t="n"/>
      <c r="O4" s="5" t="n"/>
      <c r="P4" s="5" t="n"/>
      <c r="Q4" s="5" t="n"/>
      <c r="R4" s="5" t="n"/>
      <c r="S4" s="5" t="n"/>
      <c r="T4" s="5" t="n"/>
      <c r="U4" s="5" t="n"/>
      <c r="V4" s="5" t="n"/>
      <c r="W4" s="5" t="n"/>
      <c r="X4" s="5" t="n"/>
    </row>
    <row r="5" ht="16.5" customFormat="1" customHeight="1" s="4" thickBot="1">
      <c r="A5" s="5" t="n"/>
      <c r="B5" s="5" t="inlineStr">
        <is>
          <t>店　　名</t>
        </is>
      </c>
      <c r="C5" s="5" t="n"/>
      <c r="D5" s="6" t="inlineStr">
        <is>
          <t>（株）前越電化社</t>
        </is>
      </c>
      <c r="E5" s="5" t="inlineStr">
        <is>
          <t>様</t>
        </is>
      </c>
      <c r="F5" s="5" t="n"/>
      <c r="G5" s="235" t="n"/>
      <c r="H5" s="236" t="n"/>
      <c r="I5" s="236" t="n"/>
      <c r="J5" s="236" t="n"/>
      <c r="K5" s="236" t="n"/>
      <c r="L5" s="237" t="n"/>
      <c r="M5" s="5" t="n"/>
      <c r="N5" s="5" t="n"/>
      <c r="O5" s="5" t="n"/>
      <c r="P5" s="5" t="n"/>
      <c r="Q5" s="5" t="n"/>
      <c r="R5" s="5" t="n"/>
      <c r="S5" s="5" t="n"/>
      <c r="T5" s="5" t="n"/>
      <c r="U5" s="5" t="n"/>
      <c r="V5" s="5" t="inlineStr">
        <is>
          <t>営業所</t>
        </is>
      </c>
      <c r="W5" s="5" t="n"/>
      <c r="X5" s="5" t="inlineStr">
        <is>
          <t>専門／北陸営業課</t>
        </is>
      </c>
    </row>
    <row r="6" ht="16.5" customFormat="1" customHeight="1" s="4" thickBot="1">
      <c r="A6" s="5" t="n"/>
      <c r="B6" s="5" t="n"/>
      <c r="C6" s="5" t="n"/>
      <c r="D6" s="5" t="n"/>
      <c r="E6" s="5" t="n"/>
      <c r="F6" s="5" t="n"/>
      <c r="G6" s="5" t="n"/>
      <c r="H6" s="5" t="n"/>
      <c r="I6" s="5" t="n"/>
      <c r="J6" s="5" t="n"/>
      <c r="K6" s="5" t="n"/>
      <c r="L6" s="5" t="n"/>
      <c r="M6" s="5" t="n"/>
      <c r="N6" s="5" t="n"/>
      <c r="O6" s="5" t="n"/>
      <c r="P6" s="5" t="n"/>
      <c r="Q6" s="5" t="n"/>
      <c r="R6" s="5" t="n"/>
      <c r="S6" s="5" t="n"/>
      <c r="T6" s="5" t="n"/>
      <c r="U6" s="5" t="n"/>
      <c r="V6" s="5" t="inlineStr">
        <is>
          <t>担当者</t>
        </is>
      </c>
      <c r="W6" s="5" t="n"/>
      <c r="X6" s="5" t="inlineStr">
        <is>
          <t>吉村　光平</t>
        </is>
      </c>
    </row>
    <row r="7" ht="16.5" customFormat="1" customHeight="1" s="4">
      <c r="A7" s="5" t="n"/>
      <c r="B7" s="238" t="inlineStr">
        <is>
          <t>項　　　　目</t>
        </is>
      </c>
      <c r="C7" s="233" t="n"/>
      <c r="D7" s="234" t="n"/>
      <c r="E7" s="107" t="n">
        <v>2024</v>
      </c>
      <c r="F7" s="108" t="inlineStr">
        <is>
          <t>年</t>
        </is>
      </c>
      <c r="G7" s="107" t="n">
        <v>2023</v>
      </c>
      <c r="H7" s="108" t="inlineStr">
        <is>
          <t>年</t>
        </is>
      </c>
      <c r="I7" s="239" t="inlineStr">
        <is>
          <t>前期差</t>
        </is>
      </c>
      <c r="J7" s="240" t="n"/>
      <c r="K7" s="107" t="n">
        <v>2022</v>
      </c>
      <c r="L7" s="108" t="inlineStr">
        <is>
          <t>年</t>
        </is>
      </c>
      <c r="M7" s="241" t="inlineStr">
        <is>
          <t>前前期差</t>
        </is>
      </c>
      <c r="N7" s="234" t="n"/>
      <c r="O7" s="73" t="n"/>
      <c r="P7" s="194" t="inlineStr">
        <is>
          <t>参考値</t>
        </is>
      </c>
      <c r="Q7" s="196" t="inlineStr">
        <is>
          <t>地区
平均値</t>
        </is>
      </c>
      <c r="R7" s="5" t="n"/>
      <c r="S7" s="242" t="inlineStr">
        <is>
          <t>経営</t>
        </is>
      </c>
      <c r="T7" s="234" t="n"/>
      <c r="U7" s="5" t="n"/>
      <c r="V7" s="238" t="inlineStr">
        <is>
          <t>経営課題と改善提案</t>
        </is>
      </c>
      <c r="W7" s="233" t="n"/>
      <c r="X7" s="234" t="n"/>
    </row>
    <row r="8" ht="16.5" customFormat="1" customHeight="1" s="4" thickBot="1">
      <c r="A8" s="5" t="n"/>
      <c r="B8" s="235" t="n"/>
      <c r="C8" s="236" t="n"/>
      <c r="D8" s="237" t="n"/>
      <c r="E8" s="243" t="n"/>
      <c r="F8" s="237" t="n"/>
      <c r="G8" s="243" t="n"/>
      <c r="H8" s="237" t="n"/>
      <c r="I8" s="244" t="n"/>
      <c r="J8" s="245" t="n"/>
      <c r="K8" s="243" t="n"/>
      <c r="L8" s="237" t="n"/>
      <c r="M8" s="244" t="n"/>
      <c r="N8" s="237" t="n"/>
      <c r="O8" s="73" t="n"/>
      <c r="P8" s="246" t="n"/>
      <c r="Q8" s="247" t="n"/>
      <c r="R8" s="64" t="n"/>
      <c r="S8" s="248" t="inlineStr">
        <is>
          <t>課題</t>
        </is>
      </c>
      <c r="T8" s="237" t="n"/>
      <c r="U8" s="5" t="n"/>
      <c r="V8" s="235" t="n"/>
      <c r="W8" s="236" t="n"/>
      <c r="X8" s="237" t="n"/>
    </row>
    <row r="9" ht="16.5" customHeight="1" s="227">
      <c r="A9" s="231" t="n"/>
      <c r="B9" s="249" t="inlineStr">
        <is>
          <t>販売</t>
        </is>
      </c>
      <c r="C9" s="250" t="inlineStr">
        <is>
          <t>①</t>
        </is>
      </c>
      <c r="D9" s="251" t="inlineStr">
        <is>
          <t>販　売　高</t>
        </is>
      </c>
      <c r="E9" s="252" t="n">
        <v>720883</v>
      </c>
      <c r="F9" s="253" t="inlineStr">
        <is>
          <t>千円</t>
        </is>
      </c>
      <c r="G9" s="252" t="n">
        <v>680805</v>
      </c>
      <c r="H9" s="253" t="inlineStr">
        <is>
          <t>千円</t>
        </is>
      </c>
      <c r="I9" s="254">
        <f>IFERROR(E9-G9,"-")</f>
        <v/>
      </c>
      <c r="J9" s="255" t="inlineStr">
        <is>
          <t>千円</t>
        </is>
      </c>
      <c r="K9" s="252" t="n">
        <v>669834</v>
      </c>
      <c r="L9" s="253" t="inlineStr">
        <is>
          <t>千円</t>
        </is>
      </c>
      <c r="M9" s="254">
        <f>IF(K9=0,"",IFERROR(E9-K9,"-"))</f>
        <v/>
      </c>
      <c r="N9" s="253" t="inlineStr">
        <is>
          <t>千円</t>
        </is>
      </c>
      <c r="O9" s="256" t="n"/>
      <c r="P9" s="257" t="n"/>
      <c r="Q9" s="258" t="n"/>
      <c r="R9" s="259" t="n"/>
      <c r="S9" s="47">
        <f>E9/G9</f>
        <v/>
      </c>
      <c r="T9" s="260">
        <f>IF(S9&lt;80%,"●","")</f>
        <v/>
      </c>
      <c r="U9" s="231" t="n"/>
      <c r="V9" s="249" t="inlineStr">
        <is>
          <t>販売</t>
        </is>
      </c>
      <c r="W9" s="261" t="inlineStr">
        <is>
          <t>課題</t>
        </is>
      </c>
      <c r="X9" s="262" t="n"/>
    </row>
    <row r="10" ht="16.5" customHeight="1" s="227">
      <c r="A10" s="231" t="n"/>
      <c r="B10" s="263" t="n"/>
      <c r="C10" s="264" t="inlineStr">
        <is>
          <t>②</t>
        </is>
      </c>
      <c r="D10" s="265" t="inlineStr">
        <is>
          <t>平均月商</t>
        </is>
      </c>
      <c r="E10" s="266">
        <f>IFERROR(ROUND(E9/12,1),"")</f>
        <v/>
      </c>
      <c r="F10" s="267" t="inlineStr">
        <is>
          <t>千円</t>
        </is>
      </c>
      <c r="G10" s="266">
        <f>IFERROR(ROUND(G9/12,1),"")</f>
        <v/>
      </c>
      <c r="H10" s="267" t="inlineStr">
        <is>
          <t>千円</t>
        </is>
      </c>
      <c r="I10" s="268">
        <f>IFERROR(E10-G10,"-")</f>
        <v/>
      </c>
      <c r="J10" s="269" t="inlineStr">
        <is>
          <t>千円</t>
        </is>
      </c>
      <c r="K10" s="266">
        <f>IFERROR(ROUND(K9/12,1),"")</f>
        <v/>
      </c>
      <c r="L10" s="267" t="inlineStr">
        <is>
          <t>千円</t>
        </is>
      </c>
      <c r="M10" s="268">
        <f>IF(K10=0,"",IFERROR(E10-K10,"-"))</f>
        <v/>
      </c>
      <c r="N10" s="267" t="inlineStr">
        <is>
          <t>千円</t>
        </is>
      </c>
      <c r="O10" s="256" t="n"/>
      <c r="P10" s="257" t="n"/>
      <c r="Q10" s="258" t="n"/>
      <c r="R10" s="259" t="n"/>
      <c r="S10" s="270" t="n"/>
      <c r="T10" s="271" t="n"/>
      <c r="U10" s="231" t="n"/>
      <c r="V10" s="263" t="n"/>
      <c r="W10" s="263" t="n"/>
      <c r="X10" s="272" t="n"/>
    </row>
    <row r="11" ht="16.5" customHeight="1" s="227">
      <c r="A11" s="231" t="n"/>
      <c r="B11" s="263" t="n"/>
      <c r="C11" s="273" t="inlineStr">
        <is>
          <t>③</t>
        </is>
      </c>
      <c r="D11" s="274" t="inlineStr">
        <is>
          <t>従業員Ｐ・Ｈ</t>
        </is>
      </c>
      <c r="E11" s="275">
        <f>IFERROR(ROUND(E10/E12,0),"")</f>
        <v/>
      </c>
      <c r="F11" s="276" t="inlineStr">
        <is>
          <t>千円</t>
        </is>
      </c>
      <c r="G11" s="275">
        <f>IFERROR(ROUND(G10/G12,0),"")</f>
        <v/>
      </c>
      <c r="H11" s="276" t="inlineStr">
        <is>
          <t>千円</t>
        </is>
      </c>
      <c r="I11" s="277">
        <f>IFERROR(E11-G11,"-")</f>
        <v/>
      </c>
      <c r="J11" s="278" t="inlineStr">
        <is>
          <t>千円</t>
        </is>
      </c>
      <c r="K11" s="275">
        <f>IFERROR(ROUND(K10/K12,0),"")</f>
        <v/>
      </c>
      <c r="L11" s="276" t="inlineStr">
        <is>
          <t>千円</t>
        </is>
      </c>
      <c r="M11" s="277">
        <f>IF(K11=0,"",IFERROR(E11-K11,"-"))</f>
        <v/>
      </c>
      <c r="N11" s="276" t="inlineStr">
        <is>
          <t>千円</t>
        </is>
      </c>
      <c r="O11" s="256" t="n"/>
      <c r="P11" s="279" t="inlineStr">
        <is>
          <t>2,000千円</t>
        </is>
      </c>
      <c r="Q11" s="79">
        <f>+#REF!</f>
        <v/>
      </c>
      <c r="R11" s="70" t="n"/>
      <c r="S11" s="280" t="n"/>
      <c r="T11" s="281" t="n"/>
      <c r="U11" s="231" t="n"/>
      <c r="V11" s="263" t="n"/>
      <c r="W11" s="282" t="n"/>
      <c r="X11" s="272" t="n"/>
    </row>
    <row r="12" ht="16.5" customHeight="1" s="227">
      <c r="A12" s="231" t="n"/>
      <c r="B12" s="263" t="n"/>
      <c r="C12" s="283" t="n"/>
      <c r="D12" s="284" t="inlineStr">
        <is>
          <t>対象従業員(※2)</t>
        </is>
      </c>
      <c r="E12" s="285" t="n"/>
      <c r="F12" s="286" t="inlineStr">
        <is>
          <t>人</t>
        </is>
      </c>
      <c r="G12" s="285" t="n"/>
      <c r="H12" s="286" t="inlineStr">
        <is>
          <t>人</t>
        </is>
      </c>
      <c r="I12" s="287">
        <f>IFERROR(E12-G12,"-")</f>
        <v/>
      </c>
      <c r="J12" s="288" t="inlineStr">
        <is>
          <t>人</t>
        </is>
      </c>
      <c r="K12" s="285" t="n"/>
      <c r="L12" s="286" t="inlineStr">
        <is>
          <t>人</t>
        </is>
      </c>
      <c r="M12" s="287">
        <f>IF(K12=0,"",IFERROR(E12-K12,"-"))</f>
        <v/>
      </c>
      <c r="N12" s="286" t="inlineStr">
        <is>
          <t>人</t>
        </is>
      </c>
      <c r="O12" s="289" t="n"/>
      <c r="P12" s="290" t="inlineStr">
        <is>
          <t>以上</t>
        </is>
      </c>
      <c r="Q12" s="291" t="n"/>
      <c r="R12" s="292" t="n"/>
      <c r="S12" s="293" t="n"/>
      <c r="T12" s="294" t="n"/>
      <c r="U12" s="231" t="n"/>
      <c r="V12" s="263" t="n"/>
      <c r="W12" s="295" t="inlineStr">
        <is>
          <t>提案</t>
        </is>
      </c>
      <c r="X12" s="272" t="n"/>
    </row>
    <row r="13" ht="16.5" customHeight="1" s="227">
      <c r="A13" s="231" t="n"/>
      <c r="B13" s="263" t="n"/>
      <c r="C13" s="296" t="inlineStr">
        <is>
          <t>④</t>
        </is>
      </c>
      <c r="D13" s="297" t="inlineStr">
        <is>
          <t>ﾍﾟｲﾗｲﾝ（年間）</t>
        </is>
      </c>
      <c r="E13" s="298">
        <f>IFERROR(SUM(((E15-E25)/E16)*100,1),"")</f>
        <v/>
      </c>
      <c r="F13" s="299" t="inlineStr">
        <is>
          <t>千円</t>
        </is>
      </c>
      <c r="G13" s="298">
        <f>IFERROR(SUM(((G15-G25)/G16)*100,1),"")</f>
        <v/>
      </c>
      <c r="H13" s="299" t="inlineStr">
        <is>
          <t>千円</t>
        </is>
      </c>
      <c r="I13" s="300">
        <f>IFERROR(E13-G13,"-")</f>
        <v/>
      </c>
      <c r="J13" s="301" t="inlineStr">
        <is>
          <t>千円</t>
        </is>
      </c>
      <c r="K13" s="298">
        <f>IFERROR(SUM(((K15-K25)/K16)*100,1),"")</f>
        <v/>
      </c>
      <c r="L13" s="299" t="inlineStr">
        <is>
          <t>千円</t>
        </is>
      </c>
      <c r="M13" s="300">
        <f>IF(K13=0,"",IFERROR(E13-K13,"-"))</f>
        <v/>
      </c>
      <c r="N13" s="299" t="inlineStr">
        <is>
          <t>千円</t>
        </is>
      </c>
      <c r="O13" s="256" t="n"/>
      <c r="P13" s="257" t="n"/>
      <c r="Q13" s="258" t="n"/>
      <c r="R13" s="259" t="n"/>
      <c r="S13" s="302" t="n"/>
      <c r="T13" s="303" t="n"/>
      <c r="U13" s="231" t="n"/>
      <c r="V13" s="263" t="n"/>
      <c r="W13" s="263" t="n"/>
      <c r="X13" s="272" t="n"/>
    </row>
    <row r="14" ht="16.5" customHeight="1" s="227" thickBot="1">
      <c r="A14" s="231" t="n"/>
      <c r="B14" s="304" t="n"/>
      <c r="C14" s="245" t="n"/>
      <c r="D14" s="305" t="inlineStr">
        <is>
          <t>ﾍﾟｲﾗｲﾝ（月）</t>
        </is>
      </c>
      <c r="E14" s="306">
        <f>IFERROR(E13/12,"")</f>
        <v/>
      </c>
      <c r="F14" s="307" t="inlineStr">
        <is>
          <t>千円</t>
        </is>
      </c>
      <c r="G14" s="306">
        <f>IFERROR(G13/12,"")</f>
        <v/>
      </c>
      <c r="H14" s="307" t="inlineStr">
        <is>
          <t>千円</t>
        </is>
      </c>
      <c r="I14" s="308">
        <f>IFERROR(E14-G14,"-")</f>
        <v/>
      </c>
      <c r="J14" s="309" t="inlineStr">
        <is>
          <t>千円</t>
        </is>
      </c>
      <c r="K14" s="306">
        <f>IFERROR(K13/12,"")</f>
        <v/>
      </c>
      <c r="L14" s="307" t="inlineStr">
        <is>
          <t>千円</t>
        </is>
      </c>
      <c r="M14" s="308">
        <f>IF(K14=0,"",IFERROR(E14-K14,"-"))</f>
        <v/>
      </c>
      <c r="N14" s="307" t="inlineStr">
        <is>
          <t>千円</t>
        </is>
      </c>
      <c r="O14" s="289" t="n"/>
      <c r="P14" s="257" t="n"/>
      <c r="Q14" s="258" t="n"/>
      <c r="R14" s="259" t="n"/>
      <c r="S14" s="310" t="n"/>
      <c r="T14" s="311" t="n"/>
      <c r="U14" s="231" t="n"/>
      <c r="V14" s="304" t="n"/>
      <c r="W14" s="304" t="n"/>
      <c r="X14" s="312" t="n"/>
    </row>
    <row r="15" ht="16.5" customHeight="1" s="227">
      <c r="A15" s="231" t="n"/>
      <c r="B15" s="249" t="inlineStr">
        <is>
          <t>収支</t>
        </is>
      </c>
      <c r="C15" s="250" t="inlineStr">
        <is>
          <t>⑤</t>
        </is>
      </c>
      <c r="D15" s="313" t="inlineStr">
        <is>
          <t>粗 利 額</t>
        </is>
      </c>
      <c r="E15" s="314" t="n">
        <v>103150</v>
      </c>
      <c r="F15" s="315" t="inlineStr">
        <is>
          <t>千円</t>
        </is>
      </c>
      <c r="G15" s="314" t="n">
        <v>115997</v>
      </c>
      <c r="H15" s="315" t="inlineStr">
        <is>
          <t>千円</t>
        </is>
      </c>
      <c r="I15" s="316">
        <f>IFERROR(E15-G15,"-")</f>
        <v/>
      </c>
      <c r="J15" s="317" t="inlineStr">
        <is>
          <t>千円</t>
        </is>
      </c>
      <c r="K15" s="314" t="n">
        <v>110355</v>
      </c>
      <c r="L15" s="315" t="inlineStr">
        <is>
          <t>千円</t>
        </is>
      </c>
      <c r="M15" s="316">
        <f>IF(K15=0,"",IFERROR(E15-K15,"-"))</f>
        <v/>
      </c>
      <c r="N15" s="315" t="inlineStr">
        <is>
          <t>千円</t>
        </is>
      </c>
      <c r="O15" s="256" t="n"/>
      <c r="P15" s="279" t="n"/>
      <c r="Q15" s="318" t="n"/>
      <c r="R15" s="319" t="n"/>
      <c r="S15" s="302" t="n"/>
      <c r="T15" s="303" t="n"/>
      <c r="U15" s="231" t="n"/>
      <c r="V15" s="320" t="inlineStr">
        <is>
          <t>収支</t>
        </is>
      </c>
      <c r="W15" s="261" t="inlineStr">
        <is>
          <t>課題</t>
        </is>
      </c>
      <c r="X15" s="321" t="n"/>
    </row>
    <row r="16" ht="16.5" customHeight="1" s="227">
      <c r="A16" s="231" t="n"/>
      <c r="B16" s="263" t="n"/>
      <c r="C16" s="322" t="n"/>
      <c r="D16" s="284" t="inlineStr">
        <is>
          <t xml:space="preserve">　〃　率</t>
        </is>
      </c>
      <c r="E16" s="323">
        <f>IFERROR(E15/$E9*100,"")</f>
        <v/>
      </c>
      <c r="F16" s="286" t="inlineStr">
        <is>
          <t>％</t>
        </is>
      </c>
      <c r="G16" s="323">
        <f>IFERROR(G15/$G9*100,"")</f>
        <v/>
      </c>
      <c r="H16" s="286" t="inlineStr">
        <is>
          <t>％</t>
        </is>
      </c>
      <c r="I16" s="324">
        <f>IFERROR(E16-G16,"-")</f>
        <v/>
      </c>
      <c r="J16" s="288" t="inlineStr">
        <is>
          <t>％</t>
        </is>
      </c>
      <c r="K16" s="323">
        <f>IFERROR(K15/$K9*100,"")</f>
        <v/>
      </c>
      <c r="L16" s="286" t="inlineStr">
        <is>
          <t>％</t>
        </is>
      </c>
      <c r="M16" s="324">
        <f>IF(K16=0,"",IFERROR(E16-K16,"-"))</f>
        <v/>
      </c>
      <c r="N16" s="286" t="inlineStr">
        <is>
          <t>％</t>
        </is>
      </c>
      <c r="O16" s="289" t="n"/>
      <c r="P16" s="279" t="inlineStr">
        <is>
          <t>35％以上</t>
        </is>
      </c>
      <c r="Q16" s="325">
        <f>+#REF!</f>
        <v/>
      </c>
      <c r="R16" s="326" t="n"/>
      <c r="S16" s="327">
        <f>IF(COUNTIF(Z16:AB16,"○")=3,"３期",IF(COUNTIF(Z16:AB16,"○")=2,"２期",IF(COUNTIF(Z16:AB16,"○")=1,"１期","")))</f>
        <v/>
      </c>
      <c r="T16" s="328">
        <f>IF(E16&lt;=20,"●","")</f>
        <v/>
      </c>
      <c r="U16" s="231" t="n"/>
      <c r="V16" s="263" t="n"/>
      <c r="W16" s="263" t="n"/>
      <c r="X16" s="272" t="n"/>
      <c r="Z16" s="329" t="n"/>
      <c r="AA16" s="329" t="n"/>
      <c r="AB16" s="329" t="n"/>
      <c r="AC16" s="329" t="n"/>
    </row>
    <row r="17" ht="16.5" customHeight="1" s="227">
      <c r="A17" s="231" t="n"/>
      <c r="B17" s="263" t="n"/>
      <c r="C17" s="264" t="inlineStr">
        <is>
          <t>⑥</t>
        </is>
      </c>
      <c r="D17" s="274" t="inlineStr">
        <is>
          <t>管理経費</t>
        </is>
      </c>
      <c r="E17" s="330" t="n">
        <v>107453</v>
      </c>
      <c r="F17" s="276" t="inlineStr">
        <is>
          <t>千円</t>
        </is>
      </c>
      <c r="G17" s="330" t="n">
        <v>106402</v>
      </c>
      <c r="H17" s="276" t="inlineStr">
        <is>
          <t>千円</t>
        </is>
      </c>
      <c r="I17" s="277">
        <f>IFERROR(E17-G17,"-")</f>
        <v/>
      </c>
      <c r="J17" s="278" t="inlineStr">
        <is>
          <t>千円</t>
        </is>
      </c>
      <c r="K17" s="330" t="n">
        <v>103062</v>
      </c>
      <c r="L17" s="276" t="inlineStr">
        <is>
          <t>千円</t>
        </is>
      </c>
      <c r="M17" s="277">
        <f>IF(K17=0,"",IFERROR(E17-K17,"-"))</f>
        <v/>
      </c>
      <c r="N17" s="276" t="inlineStr">
        <is>
          <t>千円</t>
        </is>
      </c>
      <c r="O17" s="256" t="n"/>
      <c r="P17" s="257" t="n"/>
      <c r="Q17" s="258" t="n"/>
      <c r="R17" s="259" t="n"/>
      <c r="S17" s="280" t="n"/>
      <c r="T17" s="281" t="n"/>
      <c r="U17" s="231" t="n"/>
      <c r="V17" s="263" t="n"/>
      <c r="W17" s="263" t="n"/>
      <c r="X17" s="272" t="n"/>
    </row>
    <row r="18" ht="16.5" customHeight="1" s="227">
      <c r="A18" s="231" t="n"/>
      <c r="B18" s="263" t="n"/>
      <c r="C18" s="322" t="n"/>
      <c r="D18" s="284" t="inlineStr">
        <is>
          <t xml:space="preserve">　〃　率</t>
        </is>
      </c>
      <c r="E18" s="323">
        <f>IFERROR(E17/$E9*100,"")</f>
        <v/>
      </c>
      <c r="F18" s="286" t="inlineStr">
        <is>
          <t>％</t>
        </is>
      </c>
      <c r="G18" s="323">
        <f>IFERROR(G17/$G9*100,"")</f>
        <v/>
      </c>
      <c r="H18" s="286" t="inlineStr">
        <is>
          <t>％</t>
        </is>
      </c>
      <c r="I18" s="324">
        <f>IFERROR(E18-G18,"-")</f>
        <v/>
      </c>
      <c r="J18" s="288" t="inlineStr">
        <is>
          <t>％</t>
        </is>
      </c>
      <c r="K18" s="323">
        <f>IFERROR(K17/$K9*100,"")</f>
        <v/>
      </c>
      <c r="L18" s="286" t="inlineStr">
        <is>
          <t>％</t>
        </is>
      </c>
      <c r="M18" s="324">
        <f>IF(K18=0,"",IFERROR(E18-K18,"-"))</f>
        <v/>
      </c>
      <c r="N18" s="286" t="inlineStr">
        <is>
          <t>％</t>
        </is>
      </c>
      <c r="O18" s="289" t="n"/>
      <c r="P18" s="279" t="inlineStr">
        <is>
          <t>32％以下</t>
        </is>
      </c>
      <c r="Q18" s="331">
        <f>+#REF!</f>
        <v/>
      </c>
      <c r="R18" s="332" t="n"/>
      <c r="S18" s="293" t="n"/>
      <c r="T18" s="294" t="n"/>
      <c r="U18" s="231" t="n"/>
      <c r="V18" s="263" t="n"/>
      <c r="W18" s="263" t="n"/>
      <c r="X18" s="272" t="n"/>
    </row>
    <row r="19" ht="16.5" customHeight="1" s="227">
      <c r="A19" s="231" t="n"/>
      <c r="B19" s="263" t="n"/>
      <c r="C19" s="264" t="inlineStr">
        <is>
          <t>⑦</t>
        </is>
      </c>
      <c r="D19" s="274" t="inlineStr">
        <is>
          <t>営業利益</t>
        </is>
      </c>
      <c r="E19" s="330" t="n">
        <v>-4303</v>
      </c>
      <c r="F19" s="276" t="inlineStr">
        <is>
          <t>千円</t>
        </is>
      </c>
      <c r="G19" s="330" t="n">
        <v>9594</v>
      </c>
      <c r="H19" s="276" t="inlineStr">
        <is>
          <t>千円</t>
        </is>
      </c>
      <c r="I19" s="277">
        <f>IFERROR(E19-G19,"-")</f>
        <v/>
      </c>
      <c r="J19" s="278" t="inlineStr">
        <is>
          <t>千円</t>
        </is>
      </c>
      <c r="K19" s="330" t="n">
        <v>7292</v>
      </c>
      <c r="L19" s="276" t="inlineStr">
        <is>
          <t>千円</t>
        </is>
      </c>
      <c r="M19" s="277">
        <f>IF(K19=0,"",IFERROR(E19-K19,"-"))</f>
        <v/>
      </c>
      <c r="N19" s="276" t="inlineStr">
        <is>
          <t>千円</t>
        </is>
      </c>
      <c r="O19" s="256" t="n"/>
      <c r="P19" s="257" t="n"/>
      <c r="Q19" s="258" t="n"/>
      <c r="R19" s="259" t="n"/>
      <c r="S19" s="280" t="n"/>
      <c r="T19" s="281" t="n"/>
      <c r="U19" s="231" t="n"/>
      <c r="V19" s="263" t="n"/>
      <c r="W19" s="263" t="n"/>
      <c r="X19" s="272" t="n"/>
    </row>
    <row r="20" ht="16.5" customHeight="1" s="227">
      <c r="A20" s="231" t="n"/>
      <c r="B20" s="263" t="n"/>
      <c r="C20" s="322" t="n"/>
      <c r="D20" s="284" t="inlineStr">
        <is>
          <t xml:space="preserve">　〃　率</t>
        </is>
      </c>
      <c r="E20" s="323">
        <f>IFERROR(E19/$E9*100,"")</f>
        <v/>
      </c>
      <c r="F20" s="286" t="inlineStr">
        <is>
          <t>％</t>
        </is>
      </c>
      <c r="G20" s="323">
        <f>IFERROR(G19/$G9*100,"")</f>
        <v/>
      </c>
      <c r="H20" s="286" t="inlineStr">
        <is>
          <t>％</t>
        </is>
      </c>
      <c r="I20" s="324">
        <f>IFERROR(E20-G20,"-")</f>
        <v/>
      </c>
      <c r="J20" s="288" t="inlineStr">
        <is>
          <t>％</t>
        </is>
      </c>
      <c r="K20" s="323">
        <f>IFERROR(K19/$K9*100,"")</f>
        <v/>
      </c>
      <c r="L20" s="286" t="inlineStr">
        <is>
          <t>％</t>
        </is>
      </c>
      <c r="M20" s="324">
        <f>IF(K20=0,"",IFERROR(E20-K20,"-"))</f>
        <v/>
      </c>
      <c r="N20" s="286" t="inlineStr">
        <is>
          <t>％</t>
        </is>
      </c>
      <c r="O20" s="289" t="n"/>
      <c r="P20" s="279" t="inlineStr">
        <is>
          <t>3％以上</t>
        </is>
      </c>
      <c r="Q20" s="325">
        <f>+#REF!</f>
        <v/>
      </c>
      <c r="R20" s="326" t="n"/>
      <c r="S20" s="293" t="n"/>
      <c r="T20" s="294" t="n"/>
      <c r="U20" s="231" t="n"/>
      <c r="V20" s="263" t="n"/>
      <c r="W20" s="282" t="n"/>
      <c r="X20" s="272" t="n"/>
    </row>
    <row r="21" ht="16.5" customHeight="1" s="227">
      <c r="A21" s="231" t="n"/>
      <c r="B21" s="263" t="n"/>
      <c r="C21" s="264" t="inlineStr">
        <is>
          <t>⑧</t>
        </is>
      </c>
      <c r="D21" s="274" t="inlineStr">
        <is>
          <t>営業外損益</t>
        </is>
      </c>
      <c r="E21" s="330" t="n">
        <v>750</v>
      </c>
      <c r="F21" s="276" t="inlineStr">
        <is>
          <t>千円</t>
        </is>
      </c>
      <c r="G21" s="330" t="n">
        <v>4367</v>
      </c>
      <c r="H21" s="276" t="inlineStr">
        <is>
          <t>千円</t>
        </is>
      </c>
      <c r="I21" s="277">
        <f>IFERROR(E21-G21,"-")</f>
        <v/>
      </c>
      <c r="J21" s="278" t="inlineStr">
        <is>
          <t>千円</t>
        </is>
      </c>
      <c r="K21" s="330" t="n">
        <v>560</v>
      </c>
      <c r="L21" s="276" t="inlineStr">
        <is>
          <t>千円</t>
        </is>
      </c>
      <c r="M21" s="277">
        <f>IF(K21=0,"",IFERROR(E21-K21,"-"))</f>
        <v/>
      </c>
      <c r="N21" s="276" t="inlineStr">
        <is>
          <t>千円</t>
        </is>
      </c>
      <c r="O21" s="256" t="n"/>
      <c r="P21" s="257" t="n"/>
      <c r="Q21" s="258" t="n"/>
      <c r="R21" s="259" t="n"/>
      <c r="S21" s="280" t="n"/>
      <c r="T21" s="281" t="n"/>
      <c r="U21" s="231" t="n"/>
      <c r="V21" s="263" t="n"/>
      <c r="W21" s="295" t="inlineStr">
        <is>
          <t>提案</t>
        </is>
      </c>
      <c r="X21" s="272" t="n"/>
    </row>
    <row r="22" ht="16.5" customHeight="1" s="227">
      <c r="A22" s="231" t="n"/>
      <c r="B22" s="263" t="n"/>
      <c r="C22" s="322" t="n"/>
      <c r="D22" s="284" t="inlineStr">
        <is>
          <t xml:space="preserve">　〃　率</t>
        </is>
      </c>
      <c r="E22" s="323">
        <f>IFERROR(E21/$E9*100,"")</f>
        <v/>
      </c>
      <c r="F22" s="286" t="inlineStr">
        <is>
          <t>％</t>
        </is>
      </c>
      <c r="G22" s="323">
        <f>IFERROR(G21/$G9*100,"")</f>
        <v/>
      </c>
      <c r="H22" s="286" t="inlineStr">
        <is>
          <t>％</t>
        </is>
      </c>
      <c r="I22" s="324">
        <f>IFERROR(E22-G22,"-")</f>
        <v/>
      </c>
      <c r="J22" s="288" t="inlineStr">
        <is>
          <t>％</t>
        </is>
      </c>
      <c r="K22" s="323">
        <f>IFERROR(K21/$K9*100,"")</f>
        <v/>
      </c>
      <c r="L22" s="286" t="inlineStr">
        <is>
          <t>％</t>
        </is>
      </c>
      <c r="M22" s="324">
        <f>IF(K22=0,"",IFERROR(E22-K22,"-"))</f>
        <v/>
      </c>
      <c r="N22" s="286" t="inlineStr">
        <is>
          <t>％</t>
        </is>
      </c>
      <c r="O22" s="289" t="n"/>
      <c r="P22" s="257" t="n"/>
      <c r="Q22" s="258" t="n"/>
      <c r="R22" s="259" t="n"/>
      <c r="S22" s="293" t="n"/>
      <c r="T22" s="294" t="n"/>
      <c r="U22" s="231" t="n"/>
      <c r="V22" s="263" t="n"/>
      <c r="W22" s="263" t="n"/>
      <c r="X22" s="272" t="n"/>
    </row>
    <row r="23" ht="16.5" customHeight="1" s="227">
      <c r="A23" s="231" t="n"/>
      <c r="B23" s="263" t="n"/>
      <c r="C23" s="264" t="inlineStr">
        <is>
          <t>⑨</t>
        </is>
      </c>
      <c r="D23" s="274" t="inlineStr">
        <is>
          <t>支払利息</t>
        </is>
      </c>
      <c r="E23" s="330" t="n">
        <v>690</v>
      </c>
      <c r="F23" s="276" t="inlineStr">
        <is>
          <t>千円</t>
        </is>
      </c>
      <c r="G23" s="330" t="n">
        <v>211</v>
      </c>
      <c r="H23" s="276" t="inlineStr">
        <is>
          <t>千円</t>
        </is>
      </c>
      <c r="I23" s="277">
        <f>IFERROR(E23-G23,"-")</f>
        <v/>
      </c>
      <c r="J23" s="278" t="inlineStr">
        <is>
          <t>千円</t>
        </is>
      </c>
      <c r="K23" s="330" t="n">
        <v>63</v>
      </c>
      <c r="L23" s="276" t="inlineStr">
        <is>
          <t>千円</t>
        </is>
      </c>
      <c r="M23" s="277">
        <f>IF(K23=0,"",IFERROR(E23-K23,"-"))</f>
        <v/>
      </c>
      <c r="N23" s="276" t="inlineStr">
        <is>
          <t>千円</t>
        </is>
      </c>
      <c r="O23" s="256" t="n"/>
      <c r="P23" s="257" t="n"/>
      <c r="Q23" s="258" t="n"/>
      <c r="R23" s="259" t="n"/>
      <c r="S23" s="280" t="n"/>
      <c r="T23" s="281" t="n"/>
      <c r="U23" s="231" t="n"/>
      <c r="V23" s="263" t="n"/>
      <c r="W23" s="263" t="n"/>
      <c r="X23" s="272" t="n"/>
    </row>
    <row r="24" ht="16.5" customHeight="1" s="227">
      <c r="A24" s="231" t="n"/>
      <c r="B24" s="263" t="n"/>
      <c r="C24" s="322" t="n"/>
      <c r="D24" s="284" t="inlineStr">
        <is>
          <t xml:space="preserve">　〃　率</t>
        </is>
      </c>
      <c r="E24" s="323">
        <f>IFERROR(E23/$E9*100,"")</f>
        <v/>
      </c>
      <c r="F24" s="286" t="inlineStr">
        <is>
          <t>％</t>
        </is>
      </c>
      <c r="G24" s="323">
        <f>IFERROR(G23/$G9*100,"")</f>
        <v/>
      </c>
      <c r="H24" s="286" t="inlineStr">
        <is>
          <t>％</t>
        </is>
      </c>
      <c r="I24" s="324">
        <f>IFERROR(E24-G24,"-")</f>
        <v/>
      </c>
      <c r="J24" s="288" t="inlineStr">
        <is>
          <t>％</t>
        </is>
      </c>
      <c r="K24" s="323">
        <f>IFERROR(K23/$K9*100,"")</f>
        <v/>
      </c>
      <c r="L24" s="286" t="inlineStr">
        <is>
          <t>％</t>
        </is>
      </c>
      <c r="M24" s="324">
        <f>IF(K24=0,"",IFERROR(E24-K24,"-"))</f>
        <v/>
      </c>
      <c r="N24" s="286" t="inlineStr">
        <is>
          <t>％</t>
        </is>
      </c>
      <c r="O24" s="289" t="n"/>
      <c r="P24" s="257" t="n"/>
      <c r="Q24" s="258" t="n"/>
      <c r="R24" s="259" t="n"/>
      <c r="S24" s="333">
        <f>IF(COUNTIF(Z24:AB24,"○")=3,"３期",IF(COUNTIF(Z24:AB24,"○")=2,"２期",IF(COUNTIF(Z24:AB24,"○")=1,"１期","")))</f>
        <v/>
      </c>
      <c r="T24" s="328">
        <f>IF(E24&gt;=2,"●","")</f>
        <v/>
      </c>
      <c r="U24" s="231" t="n"/>
      <c r="V24" s="263" t="n"/>
      <c r="W24" s="263" t="n"/>
      <c r="X24" s="272" t="n"/>
      <c r="Z24" s="329" t="n"/>
      <c r="AA24" s="329" t="n"/>
      <c r="AB24" s="329" t="n"/>
    </row>
    <row r="25" ht="16.5" customHeight="1" s="227">
      <c r="A25" s="231" t="n"/>
      <c r="B25" s="263" t="n"/>
      <c r="C25" s="334" t="inlineStr">
        <is>
          <t>⑩</t>
        </is>
      </c>
      <c r="D25" s="274" t="inlineStr">
        <is>
          <t>利　　益</t>
        </is>
      </c>
      <c r="E25" s="330" t="n">
        <v>-4242</v>
      </c>
      <c r="F25" s="276" t="inlineStr">
        <is>
          <t>千円</t>
        </is>
      </c>
      <c r="G25" s="330" t="n">
        <v>13750</v>
      </c>
      <c r="H25" s="276" t="inlineStr">
        <is>
          <t>千円</t>
        </is>
      </c>
      <c r="I25" s="277">
        <f>IFERROR(E25-G25,"-")</f>
        <v/>
      </c>
      <c r="J25" s="278" t="inlineStr">
        <is>
          <t>千円</t>
        </is>
      </c>
      <c r="K25" s="330" t="n">
        <v>7789</v>
      </c>
      <c r="L25" s="276" t="inlineStr">
        <is>
          <t>千円</t>
        </is>
      </c>
      <c r="M25" s="277">
        <f>IF(K25=0,"",IFERROR(E25-K25,"-"))</f>
        <v/>
      </c>
      <c r="N25" s="276" t="inlineStr">
        <is>
          <t>千円</t>
        </is>
      </c>
      <c r="O25" s="256" t="n"/>
      <c r="P25" s="257" t="n"/>
      <c r="Q25" s="258" t="n"/>
      <c r="R25" s="259" t="n"/>
      <c r="S25" s="327">
        <f>IF(COUNTIF(Z25:AB25,"○")=3,"３期",IF(COUNTIF(Z25:AB25,"○")=2,"２期",IF(COUNTIF(Z25:AB25,"○")=1,"１期","")))</f>
        <v/>
      </c>
      <c r="T25" s="328">
        <f>IF(COUNTIF(Z25:AA25,"○")=2,"●",IF(COUNTIF(Z25:AA25,"○")&lt;=1,""))</f>
        <v/>
      </c>
      <c r="U25" s="231" t="n"/>
      <c r="V25" s="263" t="n"/>
      <c r="W25" s="263" t="n"/>
      <c r="X25" s="272" t="n"/>
      <c r="Z25" s="329" t="n"/>
      <c r="AA25" s="329" t="n"/>
      <c r="AB25" s="329" t="n"/>
    </row>
    <row r="26" ht="16.5" customHeight="1" s="227" thickBot="1">
      <c r="A26" s="231" t="n"/>
      <c r="B26" s="304" t="n"/>
      <c r="C26" s="245" t="n"/>
      <c r="D26" s="305" t="inlineStr">
        <is>
          <t xml:space="preserve">　〃　率</t>
        </is>
      </c>
      <c r="E26" s="335">
        <f>IFERROR(E25/$E9*100,"")</f>
        <v/>
      </c>
      <c r="F26" s="307" t="inlineStr">
        <is>
          <t>％</t>
        </is>
      </c>
      <c r="G26" s="335">
        <f>IFERROR(G25/$G9*100,"")</f>
        <v/>
      </c>
      <c r="H26" s="307" t="inlineStr">
        <is>
          <t>％</t>
        </is>
      </c>
      <c r="I26" s="336">
        <f>IFERROR(E26-G26,"-")</f>
        <v/>
      </c>
      <c r="J26" s="309" t="inlineStr">
        <is>
          <t>％</t>
        </is>
      </c>
      <c r="K26" s="335">
        <f>IFERROR(K25/$K9*100,"")</f>
        <v/>
      </c>
      <c r="L26" s="307" t="inlineStr">
        <is>
          <t>％</t>
        </is>
      </c>
      <c r="M26" s="336">
        <f>IF(K26=0,"",IFERROR(E26-K26,"-"))</f>
        <v/>
      </c>
      <c r="N26" s="307" t="inlineStr">
        <is>
          <t>％</t>
        </is>
      </c>
      <c r="O26" s="289" t="n"/>
      <c r="P26" s="279" t="inlineStr">
        <is>
          <t>3％以上</t>
        </is>
      </c>
      <c r="Q26" s="318" t="n"/>
      <c r="R26" s="319" t="n"/>
      <c r="S26" s="337" t="n"/>
      <c r="T26" s="338" t="n"/>
      <c r="U26" s="231" t="n"/>
      <c r="V26" s="304" t="n"/>
      <c r="W26" s="304" t="n"/>
      <c r="X26" s="312" t="n"/>
    </row>
    <row r="27" ht="16.5" customHeight="1" s="227">
      <c r="A27" s="231" t="n"/>
      <c r="B27" s="320" t="inlineStr">
        <is>
          <t>資金</t>
        </is>
      </c>
      <c r="C27" s="339" t="inlineStr">
        <is>
          <t>⑪</t>
        </is>
      </c>
      <c r="D27" s="297" t="inlineStr">
        <is>
          <t>現預金</t>
        </is>
      </c>
      <c r="E27" s="330" t="n">
        <v>7563</v>
      </c>
      <c r="F27" s="299" t="inlineStr">
        <is>
          <t>千円</t>
        </is>
      </c>
      <c r="G27" s="330" t="n">
        <v>35859</v>
      </c>
      <c r="H27" s="299" t="inlineStr">
        <is>
          <t>千円</t>
        </is>
      </c>
      <c r="I27" s="300">
        <f>IFERROR(E27-G27,"-")</f>
        <v/>
      </c>
      <c r="J27" s="301" t="inlineStr">
        <is>
          <t>千円</t>
        </is>
      </c>
      <c r="K27" s="330" t="n">
        <v>36403</v>
      </c>
      <c r="L27" s="299" t="inlineStr">
        <is>
          <t>千円</t>
        </is>
      </c>
      <c r="M27" s="300">
        <f>IF(K27=0,"",IFERROR(E27-K27,"-"))</f>
        <v/>
      </c>
      <c r="N27" s="299" t="inlineStr">
        <is>
          <t>千円</t>
        </is>
      </c>
      <c r="O27" s="256" t="n"/>
      <c r="P27" s="257" t="n"/>
      <c r="Q27" s="258" t="n"/>
      <c r="R27" s="259" t="n"/>
      <c r="S27" s="302" t="n"/>
      <c r="T27" s="303" t="n"/>
      <c r="U27" s="231" t="n"/>
      <c r="V27" s="320" t="inlineStr">
        <is>
          <t>資金</t>
        </is>
      </c>
      <c r="W27" s="261" t="inlineStr">
        <is>
          <t>課題</t>
        </is>
      </c>
      <c r="X27" s="321" t="n"/>
    </row>
    <row r="28" ht="16.5" customHeight="1" s="227">
      <c r="A28" s="231" t="n"/>
      <c r="B28" s="263" t="n"/>
      <c r="C28" s="322" t="n"/>
      <c r="D28" s="284" t="inlineStr">
        <is>
          <t xml:space="preserve">　〃　日数</t>
        </is>
      </c>
      <c r="E28" s="340">
        <f>IFERROR(E27/E10*30,"")</f>
        <v/>
      </c>
      <c r="F28" s="286" t="inlineStr">
        <is>
          <t>日</t>
        </is>
      </c>
      <c r="G28" s="340">
        <f>IFERROR(G27/G10*30,"")</f>
        <v/>
      </c>
      <c r="H28" s="286" t="inlineStr">
        <is>
          <t>日</t>
        </is>
      </c>
      <c r="I28" s="341">
        <f>IFERROR(E28-G28,"-")</f>
        <v/>
      </c>
      <c r="J28" s="288" t="inlineStr">
        <is>
          <t>日</t>
        </is>
      </c>
      <c r="K28" s="340">
        <f>IFERROR(K27/K10*30,"")</f>
        <v/>
      </c>
      <c r="L28" s="286" t="inlineStr">
        <is>
          <t>日</t>
        </is>
      </c>
      <c r="M28" s="341">
        <f>IF(K28=0,"",IFERROR(E28-K28,"-"))</f>
        <v/>
      </c>
      <c r="N28" s="286" t="inlineStr">
        <is>
          <t>日</t>
        </is>
      </c>
      <c r="O28" s="289" t="n"/>
      <c r="P28" s="279" t="n"/>
      <c r="Q28" s="318" t="n"/>
      <c r="R28" s="319" t="n"/>
      <c r="S28" s="342" t="n"/>
      <c r="T28" s="294" t="n"/>
      <c r="U28" s="231" t="n"/>
      <c r="V28" s="263" t="n"/>
      <c r="W28" s="263" t="n"/>
      <c r="X28" s="272" t="n"/>
      <c r="Z28" s="329" t="n"/>
      <c r="AA28" s="329" t="n"/>
      <c r="AB28" s="329" t="n"/>
    </row>
    <row r="29" ht="16.5" customHeight="1" s="227">
      <c r="A29" s="231" t="n"/>
      <c r="B29" s="263" t="n"/>
      <c r="C29" s="339" t="inlineStr">
        <is>
          <t>⑫</t>
        </is>
      </c>
      <c r="D29" s="297" t="inlineStr">
        <is>
          <t>売掛金</t>
        </is>
      </c>
      <c r="E29" s="330" t="n">
        <v>41711</v>
      </c>
      <c r="F29" s="299" t="inlineStr">
        <is>
          <t>千円</t>
        </is>
      </c>
      <c r="G29" s="330" t="n">
        <v>33469</v>
      </c>
      <c r="H29" s="299" t="inlineStr">
        <is>
          <t>千円</t>
        </is>
      </c>
      <c r="I29" s="300">
        <f>IFERROR(E29-G29,"-")</f>
        <v/>
      </c>
      <c r="J29" s="301" t="inlineStr">
        <is>
          <t>千円</t>
        </is>
      </c>
      <c r="K29" s="330" t="n">
        <v>59104</v>
      </c>
      <c r="L29" s="299" t="inlineStr">
        <is>
          <t>千円</t>
        </is>
      </c>
      <c r="M29" s="300">
        <f>IF(K29=0,"",IFERROR(E29-K29,"-"))</f>
        <v/>
      </c>
      <c r="N29" s="299" t="inlineStr">
        <is>
          <t>千円</t>
        </is>
      </c>
      <c r="O29" s="256" t="n"/>
      <c r="P29" s="257" t="n"/>
      <c r="Q29" s="258" t="n"/>
      <c r="R29" s="259" t="n"/>
      <c r="S29" s="302" t="n"/>
      <c r="T29" s="303" t="n"/>
      <c r="U29" s="231" t="n"/>
      <c r="V29" s="263" t="n"/>
      <c r="W29" s="263" t="n"/>
      <c r="X29" s="272" t="n"/>
    </row>
    <row r="30" ht="16.5" customHeight="1" s="227">
      <c r="A30" s="231" t="n"/>
      <c r="B30" s="263" t="n"/>
      <c r="C30" s="322" t="n"/>
      <c r="D30" s="284" t="inlineStr">
        <is>
          <t xml:space="preserve">　〃　日数</t>
        </is>
      </c>
      <c r="E30" s="340">
        <f>IFERROR(E29/E10*30,"")</f>
        <v/>
      </c>
      <c r="F30" s="286" t="inlineStr">
        <is>
          <t>日</t>
        </is>
      </c>
      <c r="G30" s="340">
        <f>IFERROR(G29/G10*30,"")</f>
        <v/>
      </c>
      <c r="H30" s="286" t="inlineStr">
        <is>
          <t>日</t>
        </is>
      </c>
      <c r="I30" s="341">
        <f>IFERROR(E30-G30,"-")</f>
        <v/>
      </c>
      <c r="J30" s="288" t="inlineStr">
        <is>
          <t>日</t>
        </is>
      </c>
      <c r="K30" s="340">
        <f>IFERROR(K29/K10*30,"")</f>
        <v/>
      </c>
      <c r="L30" s="286" t="inlineStr">
        <is>
          <t>日</t>
        </is>
      </c>
      <c r="M30" s="341">
        <f>IF(K30=0,"",IFERROR(E30-K30,"-"))</f>
        <v/>
      </c>
      <c r="N30" s="286" t="inlineStr">
        <is>
          <t>日</t>
        </is>
      </c>
      <c r="O30" s="289" t="n"/>
      <c r="P30" s="279" t="inlineStr">
        <is>
          <t>15日以下</t>
        </is>
      </c>
      <c r="Q30" s="318" t="n"/>
      <c r="R30" s="319" t="n"/>
      <c r="S30" s="333">
        <f>IF(COUNTIF(Z30:AB30,"○")=3,"３期",IF(COUNTIF(Z30:AB30,"○")=2,"２期",IF(COUNTIF(Z30:AB30,"○")=1,"１期","")))</f>
        <v/>
      </c>
      <c r="T30" s="328">
        <f>IF(E30&gt;=60,"●","")</f>
        <v/>
      </c>
      <c r="U30" s="231" t="n"/>
      <c r="V30" s="263" t="n"/>
      <c r="W30" s="263" t="n"/>
      <c r="X30" s="272" t="n"/>
      <c r="Z30" s="329" t="n"/>
      <c r="AA30" s="329" t="n"/>
      <c r="AB30" s="329" t="n"/>
    </row>
    <row r="31" ht="16.5" customHeight="1" s="227">
      <c r="A31" s="231" t="n"/>
      <c r="B31" s="263" t="n"/>
      <c r="C31" s="273" t="inlineStr">
        <is>
          <t>⑬</t>
        </is>
      </c>
      <c r="D31" s="274" t="inlineStr">
        <is>
          <t>棚卸高</t>
        </is>
      </c>
      <c r="E31" s="343" t="n">
        <v>72650</v>
      </c>
      <c r="F31" s="276" t="inlineStr">
        <is>
          <t>千円</t>
        </is>
      </c>
      <c r="G31" s="343" t="n">
        <v>69173</v>
      </c>
      <c r="H31" s="276" t="inlineStr">
        <is>
          <t>千円</t>
        </is>
      </c>
      <c r="I31" s="277">
        <f>IFERROR(E31-G31,"-")</f>
        <v/>
      </c>
      <c r="J31" s="278" t="inlineStr">
        <is>
          <t>千円</t>
        </is>
      </c>
      <c r="K31" s="343" t="n">
        <v>46326</v>
      </c>
      <c r="L31" s="276" t="inlineStr">
        <is>
          <t>千円</t>
        </is>
      </c>
      <c r="M31" s="277">
        <f>IF(K31=0,"",IFERROR(E31-K31,"-"))</f>
        <v/>
      </c>
      <c r="N31" s="276" t="inlineStr">
        <is>
          <t>千円</t>
        </is>
      </c>
      <c r="O31" s="256" t="n"/>
      <c r="P31" s="257" t="n"/>
      <c r="Q31" s="258" t="n"/>
      <c r="R31" s="259" t="n"/>
      <c r="S31" s="280" t="n"/>
      <c r="T31" s="281" t="n"/>
      <c r="U31" s="231" t="n"/>
      <c r="V31" s="263" t="n"/>
      <c r="W31" s="263" t="n"/>
      <c r="X31" s="272" t="n"/>
    </row>
    <row r="32" ht="16.5" customHeight="1" s="227">
      <c r="A32" s="231" t="n"/>
      <c r="B32" s="263" t="n"/>
      <c r="C32" s="283" t="n"/>
      <c r="D32" s="284" t="inlineStr">
        <is>
          <t xml:space="preserve">　〃　日数</t>
        </is>
      </c>
      <c r="E32" s="340">
        <f>IFERROR(E31/E10*30,"")</f>
        <v/>
      </c>
      <c r="F32" s="286" t="inlineStr">
        <is>
          <t>日</t>
        </is>
      </c>
      <c r="G32" s="340">
        <f>IFERROR(G31/G10*30,"")</f>
        <v/>
      </c>
      <c r="H32" s="286" t="inlineStr">
        <is>
          <t>日</t>
        </is>
      </c>
      <c r="I32" s="341">
        <f>IFERROR(E32-G32,"-")</f>
        <v/>
      </c>
      <c r="J32" s="288" t="inlineStr">
        <is>
          <t>日</t>
        </is>
      </c>
      <c r="K32" s="340">
        <f>IFERROR(K31/K10*30,"")</f>
        <v/>
      </c>
      <c r="L32" s="286" t="inlineStr">
        <is>
          <t>日</t>
        </is>
      </c>
      <c r="M32" s="341">
        <f>IF(K32=0,"",IFERROR(E32-K32,"-"))</f>
        <v/>
      </c>
      <c r="N32" s="286" t="inlineStr">
        <is>
          <t>日</t>
        </is>
      </c>
      <c r="O32" s="289" t="n"/>
      <c r="P32" s="279" t="inlineStr">
        <is>
          <t>30日以下</t>
        </is>
      </c>
      <c r="Q32" s="318" t="n"/>
      <c r="R32" s="319" t="n"/>
      <c r="S32" s="333">
        <f>IF(COUNTIF(Z32:AB32,"○")=3,"３期",IF(COUNTIF(Z32:AB32,"○")=2,"２期",IF(COUNTIF(Z32:AB32,"○")=1,"１期","")))</f>
        <v/>
      </c>
      <c r="T32" s="328">
        <f>IF(E32&gt;=60,"●","")</f>
        <v/>
      </c>
      <c r="U32" s="231" t="n"/>
      <c r="V32" s="263" t="n"/>
      <c r="W32" s="263" t="n"/>
      <c r="X32" s="272" t="n"/>
      <c r="Z32" s="329" t="n"/>
      <c r="AA32" s="329" t="n"/>
      <c r="AB32" s="329" t="n"/>
    </row>
    <row r="33" ht="16.5" customHeight="1" s="227">
      <c r="A33" s="231" t="n"/>
      <c r="B33" s="263" t="n"/>
      <c r="C33" s="273" t="inlineStr">
        <is>
          <t>⑭</t>
        </is>
      </c>
      <c r="D33" s="274" t="inlineStr">
        <is>
          <t>借入金</t>
        </is>
      </c>
      <c r="E33" s="343" t="n">
        <v>69942</v>
      </c>
      <c r="F33" s="276" t="inlineStr">
        <is>
          <t>千円</t>
        </is>
      </c>
      <c r="G33" s="343" t="n">
        <v>62703</v>
      </c>
      <c r="H33" s="276" t="inlineStr">
        <is>
          <t>千円</t>
        </is>
      </c>
      <c r="I33" s="277">
        <f>IFERROR(E33-G33,"-")</f>
        <v/>
      </c>
      <c r="J33" s="278" t="inlineStr">
        <is>
          <t>千円</t>
        </is>
      </c>
      <c r="K33" s="343" t="n">
        <v>48673</v>
      </c>
      <c r="L33" s="276" t="inlineStr">
        <is>
          <t>千円</t>
        </is>
      </c>
      <c r="M33" s="277">
        <f>IF(K33=0,"",IFERROR(E33-K33,"-"))</f>
        <v/>
      </c>
      <c r="N33" s="276" t="inlineStr">
        <is>
          <t>千円</t>
        </is>
      </c>
      <c r="O33" s="256" t="n"/>
      <c r="P33" s="257" t="n"/>
      <c r="Q33" s="258" t="n"/>
      <c r="R33" s="259" t="n"/>
      <c r="S33" s="280" t="n"/>
      <c r="T33" s="281" t="n"/>
      <c r="U33" s="231" t="n"/>
      <c r="V33" s="263" t="n"/>
      <c r="W33" s="282" t="n"/>
      <c r="X33" s="272" t="n"/>
    </row>
    <row r="34" ht="16.5" customHeight="1" s="227">
      <c r="A34" s="231" t="n"/>
      <c r="B34" s="263" t="n"/>
      <c r="C34" s="283" t="n"/>
      <c r="D34" s="284" t="inlineStr">
        <is>
          <t xml:space="preserve">　〃　日数</t>
        </is>
      </c>
      <c r="E34" s="340">
        <f>IFERROR(E33/E10*30,"")</f>
        <v/>
      </c>
      <c r="F34" s="286" t="inlineStr">
        <is>
          <t>日</t>
        </is>
      </c>
      <c r="G34" s="340">
        <f>IFERROR(G33/G10*30,"")</f>
        <v/>
      </c>
      <c r="H34" s="286" t="inlineStr">
        <is>
          <t>日</t>
        </is>
      </c>
      <c r="I34" s="341">
        <f>IFERROR(E34-G34,"-")</f>
        <v/>
      </c>
      <c r="J34" s="288" t="inlineStr">
        <is>
          <t>日</t>
        </is>
      </c>
      <c r="K34" s="340">
        <f>IFERROR(K33/K10*30,"")</f>
        <v/>
      </c>
      <c r="L34" s="286" t="inlineStr">
        <is>
          <t>日</t>
        </is>
      </c>
      <c r="M34" s="341">
        <f>IF(K34=0,"",IFERROR(E34-K34,"-"))</f>
        <v/>
      </c>
      <c r="N34" s="286" t="inlineStr">
        <is>
          <t>日</t>
        </is>
      </c>
      <c r="O34" s="289" t="n"/>
      <c r="P34" s="279" t="inlineStr">
        <is>
          <t>70日以下</t>
        </is>
      </c>
      <c r="Q34" s="318" t="n"/>
      <c r="R34" s="319" t="n"/>
      <c r="S34" s="333" t="n"/>
      <c r="T34" s="328" t="n"/>
      <c r="U34" s="231" t="n"/>
      <c r="V34" s="263" t="n"/>
      <c r="W34" s="295" t="inlineStr">
        <is>
          <t>提案</t>
        </is>
      </c>
      <c r="X34" s="272" t="n"/>
      <c r="Z34" s="329" t="n"/>
      <c r="AA34" s="329" t="n"/>
      <c r="AB34" s="329" t="n"/>
    </row>
    <row r="35" ht="16.5" customHeight="1" s="227">
      <c r="A35" s="231" t="n"/>
      <c r="B35" s="263" t="n"/>
      <c r="C35" s="273" t="inlineStr">
        <is>
          <t>⑮</t>
        </is>
      </c>
      <c r="D35" s="274" t="inlineStr">
        <is>
          <t>自己資本</t>
        </is>
      </c>
      <c r="E35" s="343" t="n">
        <v>28078</v>
      </c>
      <c r="F35" s="276" t="inlineStr">
        <is>
          <t>千円</t>
        </is>
      </c>
      <c r="G35" s="343" t="n">
        <v>33652</v>
      </c>
      <c r="H35" s="276" t="inlineStr">
        <is>
          <t>千円</t>
        </is>
      </c>
      <c r="I35" s="277">
        <f>IFERROR(E35-G35,"-")</f>
        <v/>
      </c>
      <c r="J35" s="278" t="inlineStr">
        <is>
          <t>千円</t>
        </is>
      </c>
      <c r="K35" s="343" t="n">
        <v>22531</v>
      </c>
      <c r="L35" s="276" t="inlineStr">
        <is>
          <t>千円</t>
        </is>
      </c>
      <c r="M35" s="277">
        <f>IF(K35=0,"",IFERROR(E35-K35,"-"))</f>
        <v/>
      </c>
      <c r="N35" s="276" t="inlineStr">
        <is>
          <t>千円</t>
        </is>
      </c>
      <c r="O35" s="256" t="n"/>
      <c r="P35" s="344" t="inlineStr">
        <is>
          <t>負債合計</t>
        </is>
      </c>
      <c r="Q35" s="345" t="n"/>
      <c r="R35" s="346" t="n"/>
      <c r="S35" s="333">
        <f>IF(COUNTIF(Z35:AB35,"○")=3,"３期",IF(COUNTIF(Z35:AB35,"○")=2,"２期",IF(COUNTIF(Z35:AB35,"○")=1,"１期","")))</f>
        <v/>
      </c>
      <c r="T35" s="328">
        <f>IF(E35&lt;0,"●","")</f>
        <v/>
      </c>
      <c r="U35" s="231" t="n"/>
      <c r="V35" s="263" t="n"/>
      <c r="W35" s="263" t="n"/>
      <c r="X35" s="272" t="n"/>
      <c r="Z35" s="329" t="n"/>
      <c r="AA35" s="329" t="n"/>
      <c r="AB35" s="329" t="n"/>
    </row>
    <row r="36" ht="16.5" customHeight="1" s="227">
      <c r="A36" s="231" t="n"/>
      <c r="B36" s="263" t="n"/>
      <c r="C36" s="283" t="n"/>
      <c r="D36" s="284" t="inlineStr">
        <is>
          <t xml:space="preserve">　〃　日数</t>
        </is>
      </c>
      <c r="E36" s="340">
        <f>IFERROR(E35/E10*30,"")</f>
        <v/>
      </c>
      <c r="F36" s="286" t="inlineStr">
        <is>
          <t>日</t>
        </is>
      </c>
      <c r="G36" s="340">
        <f>IFERROR(G35/G10*30,"")</f>
        <v/>
      </c>
      <c r="H36" s="286" t="inlineStr">
        <is>
          <t>日</t>
        </is>
      </c>
      <c r="I36" s="341">
        <f>IFERROR(E36-G36,"-")</f>
        <v/>
      </c>
      <c r="J36" s="288" t="inlineStr">
        <is>
          <t>日</t>
        </is>
      </c>
      <c r="K36" s="340">
        <f>IFERROR(K35/K10*30,"")</f>
        <v/>
      </c>
      <c r="L36" s="286" t="inlineStr">
        <is>
          <t>日</t>
        </is>
      </c>
      <c r="M36" s="341">
        <f>IF(K36=0,"",IFERROR(E36-K36,"-"))</f>
        <v/>
      </c>
      <c r="N36" s="286" t="inlineStr">
        <is>
          <t>日</t>
        </is>
      </c>
      <c r="O36" s="289" t="n"/>
      <c r="P36" s="347" t="inlineStr">
        <is>
          <t>以上確保</t>
        </is>
      </c>
      <c r="Q36" s="348" t="n"/>
      <c r="R36" s="349" t="n"/>
      <c r="S36" s="350" t="n"/>
      <c r="T36" s="351" t="n"/>
      <c r="U36" s="231" t="n"/>
      <c r="V36" s="263" t="n"/>
      <c r="W36" s="263" t="n"/>
      <c r="X36" s="272" t="n"/>
    </row>
    <row r="37" ht="16.5" customHeight="1" s="227">
      <c r="A37" s="231" t="n"/>
      <c r="B37" s="263" t="n"/>
      <c r="C37" s="273" t="inlineStr">
        <is>
          <t>⑯</t>
        </is>
      </c>
      <c r="D37" s="297" t="inlineStr">
        <is>
          <t>未回収履歴</t>
        </is>
      </c>
      <c r="E37" s="330" t="n"/>
      <c r="F37" s="299" t="inlineStr">
        <is>
          <t>回</t>
        </is>
      </c>
      <c r="G37" s="330" t="n"/>
      <c r="H37" s="299" t="inlineStr">
        <is>
          <t>回</t>
        </is>
      </c>
      <c r="I37" s="300" t="n"/>
      <c r="J37" s="301" t="inlineStr">
        <is>
          <t>回</t>
        </is>
      </c>
      <c r="K37" s="330" t="n"/>
      <c r="L37" s="299" t="inlineStr">
        <is>
          <t>回</t>
        </is>
      </c>
      <c r="M37" s="300">
        <f>IF(K37=0,"",IFERROR(E37-K37,"-"))</f>
        <v/>
      </c>
      <c r="N37" s="299" t="inlineStr">
        <is>
          <t>回</t>
        </is>
      </c>
      <c r="O37" s="256" t="n"/>
      <c r="P37" s="257" t="n"/>
      <c r="Q37" s="258" t="n"/>
      <c r="R37" s="259" t="n"/>
      <c r="S37" s="352">
        <f>IF(COUNTIF(Z37:AB37,"○")=3,"３期",IF(COUNTIF(Z37:AB37,"○")=2,"２期",IF(COUNTIF(Z37:AB37,"○")=1,"１期","")))</f>
        <v/>
      </c>
      <c r="T37" s="328">
        <f>IF(E37&gt;0,"●","")</f>
        <v/>
      </c>
      <c r="U37" s="231" t="n"/>
      <c r="V37" s="263" t="n"/>
      <c r="W37" s="263" t="n"/>
      <c r="X37" s="272" t="n"/>
      <c r="Z37" s="329" t="n"/>
      <c r="AA37" s="329" t="n"/>
      <c r="AB37" s="329" t="n"/>
    </row>
    <row r="38" ht="16.5" customHeight="1" s="227" thickBot="1">
      <c r="A38" s="231" t="n"/>
      <c r="B38" s="304" t="n"/>
      <c r="C38" s="353" t="inlineStr">
        <is>
          <t>⑰</t>
        </is>
      </c>
      <c r="D38" s="305" t="inlineStr">
        <is>
          <t>決算書（ＢＳ）</t>
        </is>
      </c>
      <c r="E38" s="354" t="n"/>
      <c r="F38" s="307" t="n"/>
      <c r="G38" s="354" t="n"/>
      <c r="H38" s="307" t="n"/>
      <c r="I38" s="308" t="n"/>
      <c r="J38" s="309" t="n"/>
      <c r="K38" s="354" t="n"/>
      <c r="L38" s="307" t="n"/>
      <c r="M38" s="355">
        <f>IF(K38=0,"",IFERROR(E38-K38,"-"))</f>
        <v/>
      </c>
      <c r="N38" s="307" t="n"/>
      <c r="O38" s="289" t="n"/>
      <c r="P38" s="356" t="n"/>
      <c r="Q38" s="357" t="n"/>
      <c r="R38" s="259" t="n"/>
      <c r="S38" s="358">
        <f>IF(E38="×","無し","")</f>
        <v/>
      </c>
      <c r="T38" s="359">
        <f>IF(E38="○","","●")</f>
        <v/>
      </c>
      <c r="U38" s="231" t="n"/>
      <c r="V38" s="304" t="n"/>
      <c r="W38" s="304" t="n"/>
      <c r="X38" s="312" t="n"/>
    </row>
    <row r="39" ht="16.5" customHeight="1" s="227" thickBot="1">
      <c r="A39" s="231" t="n"/>
      <c r="B39" s="231" t="n"/>
      <c r="C39" s="231" t="n"/>
      <c r="D39" s="360" t="n"/>
      <c r="E39" s="231" t="n"/>
      <c r="F39" s="231" t="n"/>
      <c r="G39" s="231" t="n"/>
      <c r="H39" s="231" t="n"/>
      <c r="I39" s="231" t="n"/>
      <c r="J39" s="231" t="n"/>
      <c r="K39" s="361" t="inlineStr">
        <is>
          <t>（※２・・女性・ひまわりさんは、0.5人でｶｳﾝﾄしてます）</t>
        </is>
      </c>
      <c r="L39" s="231" t="n"/>
      <c r="M39" s="231" t="n"/>
      <c r="N39" s="231" t="n"/>
      <c r="O39" s="231" t="n"/>
      <c r="P39" s="231" t="n"/>
      <c r="Q39" s="231" t="n"/>
      <c r="R39" s="231" t="n"/>
      <c r="S39" s="231" t="n"/>
      <c r="T39" s="231" t="n"/>
      <c r="U39" s="231" t="n"/>
      <c r="V39" s="231" t="n"/>
      <c r="W39" s="231" t="n"/>
      <c r="X39" s="231" t="n"/>
    </row>
    <row r="40" ht="16.5" customHeight="1" s="227" thickBot="1">
      <c r="A40" s="231" t="n"/>
      <c r="B40" s="362" t="inlineStr">
        <is>
          <t>顧客稼働　　　　　　状況</t>
        </is>
      </c>
      <c r="C40" s="240" t="n"/>
      <c r="D40" s="52" t="inlineStr">
        <is>
          <t>年度</t>
        </is>
      </c>
      <c r="E40" s="97" t="inlineStr">
        <is>
          <t>2022年度</t>
        </is>
      </c>
      <c r="F40" s="363" t="inlineStr">
        <is>
          <t>前年比</t>
        </is>
      </c>
      <c r="G40" s="97" t="inlineStr">
        <is>
          <t>2021年度</t>
        </is>
      </c>
      <c r="H40" s="363" t="inlineStr">
        <is>
          <t>前年比</t>
        </is>
      </c>
      <c r="I40" s="99" t="inlineStr">
        <is>
          <t>2020年度</t>
        </is>
      </c>
      <c r="J40" s="363" t="inlineStr">
        <is>
          <t>前年比</t>
        </is>
      </c>
      <c r="K40" s="99" t="inlineStr">
        <is>
          <t>2019年度</t>
        </is>
      </c>
      <c r="L40" s="363" t="inlineStr">
        <is>
          <t>前年比</t>
        </is>
      </c>
      <c r="M40" s="99" t="inlineStr">
        <is>
          <t>2018年度</t>
        </is>
      </c>
      <c r="N40" s="364" t="inlineStr">
        <is>
          <t>前年比</t>
        </is>
      </c>
      <c r="O40" s="365" t="n"/>
      <c r="P40" s="231" t="n"/>
      <c r="Q40" s="231" t="n"/>
      <c r="R40" s="231" t="n"/>
      <c r="S40" s="53" t="n"/>
      <c r="T40" s="366" t="n"/>
      <c r="U40" s="231" t="n"/>
      <c r="V40" s="367" t="inlineStr">
        <is>
          <t>稼働客</t>
        </is>
      </c>
      <c r="W40" s="368" t="inlineStr">
        <is>
          <t>提案</t>
        </is>
      </c>
      <c r="X40" s="272" t="n"/>
    </row>
    <row r="41" ht="16.5" customHeight="1" s="227">
      <c r="A41" s="231" t="n"/>
      <c r="B41" s="369" t="n"/>
      <c r="C41" s="370" t="n"/>
      <c r="D41" s="55" t="inlineStr">
        <is>
          <t>直近一年</t>
        </is>
      </c>
      <c r="E41" s="154" t="n"/>
      <c r="F41" s="101" t="n"/>
      <c r="G41" s="156" t="n"/>
      <c r="H41" s="101" t="n"/>
      <c r="I41" s="156" t="n"/>
      <c r="J41" s="101" t="n"/>
      <c r="K41" s="156" t="n"/>
      <c r="L41" s="101" t="n"/>
      <c r="M41" s="156" t="n"/>
      <c r="N41" s="104" t="n"/>
      <c r="O41" s="92" t="n"/>
      <c r="P41" s="231" t="n"/>
      <c r="Q41" s="231" t="n"/>
      <c r="R41" s="231" t="n"/>
      <c r="S41" s="57" t="n"/>
      <c r="T41" s="56" t="n"/>
      <c r="U41" s="231" t="n"/>
      <c r="V41" s="263" t="n"/>
      <c r="W41" s="371" t="n"/>
      <c r="X41" s="272" t="n"/>
    </row>
    <row r="42" ht="16.5" customHeight="1" s="227">
      <c r="A42" s="231" t="n"/>
      <c r="B42" s="369" t="n"/>
      <c r="C42" s="370" t="n"/>
      <c r="D42" s="58" t="inlineStr">
        <is>
          <t>５年稼働客</t>
        </is>
      </c>
      <c r="E42" s="154" t="n"/>
      <c r="F42" s="102" t="n"/>
      <c r="G42" s="157" t="n"/>
      <c r="H42" s="102" t="n"/>
      <c r="I42" s="157" t="n"/>
      <c r="J42" s="102" t="n"/>
      <c r="K42" s="157" t="n"/>
      <c r="L42" s="102" t="n"/>
      <c r="M42" s="157" t="n"/>
      <c r="N42" s="105" t="n"/>
      <c r="O42" s="92" t="n"/>
      <c r="P42" s="231" t="n"/>
      <c r="Q42" s="231" t="n"/>
      <c r="R42" s="231" t="n"/>
      <c r="S42" s="60" t="n"/>
      <c r="T42" s="59" t="n"/>
      <c r="U42" s="231" t="n"/>
      <c r="V42" s="263" t="n"/>
      <c r="W42" s="371" t="n"/>
      <c r="X42" s="272" t="n"/>
    </row>
    <row r="43" ht="16.5" customHeight="1" s="227">
      <c r="A43" s="231" t="n"/>
      <c r="B43" s="369" t="n"/>
      <c r="C43" s="370" t="n"/>
      <c r="D43" s="58" t="inlineStr">
        <is>
          <t>ＡＢ世帯数</t>
        </is>
      </c>
      <c r="E43" s="154" t="n"/>
      <c r="F43" s="102" t="n"/>
      <c r="G43" s="157" t="n"/>
      <c r="H43" s="102" t="n"/>
      <c r="I43" s="157" t="n"/>
      <c r="J43" s="102" t="n"/>
      <c r="K43" s="157" t="n"/>
      <c r="L43" s="102" t="n"/>
      <c r="M43" s="157" t="n"/>
      <c r="N43" s="105" t="n"/>
      <c r="O43" s="92" t="n"/>
      <c r="P43" s="231" t="n"/>
      <c r="Q43" s="231" t="n"/>
      <c r="R43" s="231" t="n"/>
      <c r="S43" s="60" t="n"/>
      <c r="T43" s="59" t="n"/>
      <c r="U43" s="231" t="n"/>
      <c r="V43" s="263" t="n"/>
      <c r="W43" s="371" t="n"/>
      <c r="X43" s="272" t="n"/>
    </row>
    <row r="44" ht="16.5" customHeight="1" s="227" thickBot="1">
      <c r="A44" s="231" t="n"/>
      <c r="B44" s="235" t="n"/>
      <c r="C44" s="245" t="n"/>
      <c r="D44" s="61" t="inlineStr">
        <is>
          <t>新規客</t>
        </is>
      </c>
      <c r="E44" s="155" t="n"/>
      <c r="F44" s="103" t="n"/>
      <c r="G44" s="158" t="n"/>
      <c r="H44" s="103" t="n"/>
      <c r="I44" s="158" t="n"/>
      <c r="J44" s="103" t="n"/>
      <c r="K44" s="158" t="n"/>
      <c r="L44" s="103" t="n"/>
      <c r="M44" s="158" t="n"/>
      <c r="N44" s="106" t="n"/>
      <c r="O44" s="92" t="n"/>
      <c r="P44" s="231" t="n"/>
      <c r="Q44" s="231" t="n"/>
      <c r="R44" s="231" t="n"/>
      <c r="S44" s="63" t="n"/>
      <c r="T44" s="62" t="n"/>
      <c r="U44" s="231" t="n"/>
      <c r="V44" s="304" t="n"/>
      <c r="W44" s="237" t="n"/>
      <c r="X44" s="312" t="n"/>
    </row>
    <row r="45" ht="16.5" customHeight="1" s="227" thickBot="1">
      <c r="A45" s="231" t="n"/>
      <c r="B45" s="231" t="n"/>
      <c r="C45" s="231" t="n"/>
      <c r="D45" s="360" t="n"/>
      <c r="E45" s="231" t="n"/>
      <c r="F45" s="231" t="n"/>
      <c r="G45" s="231" t="n"/>
      <c r="H45" s="231" t="n"/>
      <c r="I45" s="231" t="n"/>
      <c r="J45" s="231" t="n"/>
      <c r="K45" s="361" t="n"/>
      <c r="L45" s="231" t="n"/>
      <c r="M45" s="231" t="n"/>
      <c r="N45" s="231" t="n"/>
      <c r="O45" s="231" t="n"/>
      <c r="P45" s="231" t="n"/>
      <c r="Q45" s="231" t="n"/>
      <c r="R45" s="231" t="n"/>
      <c r="S45" s="231" t="n"/>
      <c r="T45" s="231" t="n"/>
      <c r="U45" s="231" t="n"/>
      <c r="V45" s="231" t="n"/>
      <c r="W45" s="231" t="n"/>
      <c r="X45" s="231" t="n"/>
    </row>
    <row r="46" ht="16.5" customHeight="1" s="227" thickBot="1">
      <c r="A46" s="231" t="n"/>
      <c r="B46" s="249" t="inlineStr">
        <is>
          <t>【経営談義報告書】</t>
        </is>
      </c>
      <c r="C46" s="372" t="n"/>
      <c r="D46" s="372" t="n"/>
      <c r="E46" s="372" t="n"/>
      <c r="F46" s="372" t="n"/>
      <c r="G46" s="372" t="n"/>
      <c r="H46" s="372" t="n"/>
      <c r="I46" s="372" t="n"/>
      <c r="J46" s="372" t="n"/>
      <c r="K46" s="372" t="n"/>
      <c r="L46" s="372" t="n"/>
      <c r="M46" s="372" t="n"/>
      <c r="N46" s="373" t="n"/>
      <c r="O46" s="374" t="n"/>
      <c r="P46" s="231" t="n"/>
      <c r="Q46" s="231" t="n"/>
      <c r="R46" s="231" t="n"/>
      <c r="S46" s="375" t="inlineStr">
        <is>
          <t>課題</t>
        </is>
      </c>
      <c r="T46" s="376">
        <f>COUNTIF(T9:T38,"●")</f>
        <v/>
      </c>
      <c r="U46" s="231" t="n"/>
      <c r="V46" s="377" t="inlineStr">
        <is>
          <t>実施日</t>
        </is>
      </c>
      <c r="W46" s="234" t="n"/>
      <c r="X46" s="378" t="n"/>
    </row>
    <row r="47" ht="16.5" customHeight="1" s="227" thickBot="1">
      <c r="A47" s="231" t="n"/>
      <c r="B47" s="379" t="n"/>
      <c r="C47" s="380" t="n"/>
      <c r="D47" s="380" t="n"/>
      <c r="E47" s="380" t="n"/>
      <c r="F47" s="380" t="n"/>
      <c r="G47" s="380" t="n"/>
      <c r="H47" s="380" t="n"/>
      <c r="I47" s="380" t="n"/>
      <c r="J47" s="380" t="n"/>
      <c r="K47" s="380" t="n"/>
      <c r="L47" s="380" t="n"/>
      <c r="M47" s="380" t="n"/>
      <c r="N47" s="381" t="n"/>
      <c r="O47" s="382" t="n"/>
      <c r="P47" s="231" t="n"/>
      <c r="Q47" s="231" t="n"/>
      <c r="R47" s="231" t="n"/>
      <c r="S47" s="231" t="n"/>
      <c r="T47" s="231" t="n"/>
      <c r="U47" s="231" t="n"/>
      <c r="V47" s="383" t="n"/>
      <c r="W47" s="384" t="n"/>
      <c r="X47" s="385" t="n"/>
    </row>
    <row r="48" ht="16.5" customHeight="1" s="227">
      <c r="A48" s="231" t="n"/>
      <c r="B48" s="379" t="n"/>
      <c r="C48" s="380" t="n"/>
      <c r="D48" s="380" t="n"/>
      <c r="E48" s="380" t="n"/>
      <c r="F48" s="380" t="n"/>
      <c r="G48" s="380" t="n"/>
      <c r="H48" s="380" t="n"/>
      <c r="I48" s="380" t="n"/>
      <c r="J48" s="380" t="n"/>
      <c r="K48" s="380" t="n"/>
      <c r="L48" s="380" t="n"/>
      <c r="M48" s="380" t="n"/>
      <c r="N48" s="381" t="n"/>
      <c r="O48" s="382" t="n"/>
      <c r="P48" s="231" t="n"/>
      <c r="Q48" s="231" t="n"/>
      <c r="R48" s="231" t="n"/>
      <c r="S48" s="386" t="inlineStr">
        <is>
          <t>上司</t>
        </is>
      </c>
      <c r="T48" s="387" t="n"/>
      <c r="U48" s="231" t="n"/>
      <c r="V48" s="388" t="inlineStr">
        <is>
          <t>場　所</t>
        </is>
      </c>
      <c r="W48" s="389" t="n"/>
      <c r="X48" s="381" t="n"/>
    </row>
    <row r="49" ht="16.5" customHeight="1" s="227">
      <c r="A49" s="231" t="n"/>
      <c r="B49" s="379" t="n"/>
      <c r="C49" s="380" t="n"/>
      <c r="D49" s="380" t="n"/>
      <c r="E49" s="380" t="n"/>
      <c r="F49" s="380" t="n"/>
      <c r="G49" s="380" t="n"/>
      <c r="H49" s="380" t="n"/>
      <c r="I49" s="380" t="n"/>
      <c r="J49" s="380" t="n"/>
      <c r="K49" s="380" t="n"/>
      <c r="L49" s="380" t="n"/>
      <c r="M49" s="380" t="n"/>
      <c r="N49" s="381" t="n"/>
      <c r="O49" s="382" t="n"/>
      <c r="P49" s="231" t="n"/>
      <c r="Q49" s="231" t="n"/>
      <c r="R49" s="231" t="n"/>
      <c r="S49" s="390" t="n"/>
      <c r="T49" s="391" t="n"/>
      <c r="U49" s="231" t="n"/>
      <c r="V49" s="383" t="n"/>
      <c r="W49" s="384" t="n"/>
      <c r="X49" s="392" t="n"/>
    </row>
    <row r="50" ht="16.5" customHeight="1" s="227">
      <c r="A50" s="231" t="n"/>
      <c r="B50" s="379" t="n"/>
      <c r="C50" s="380" t="n"/>
      <c r="D50" s="380" t="n"/>
      <c r="E50" s="380" t="n"/>
      <c r="F50" s="380" t="n"/>
      <c r="G50" s="380" t="n"/>
      <c r="H50" s="380" t="n"/>
      <c r="I50" s="380" t="n"/>
      <c r="J50" s="380" t="n"/>
      <c r="K50" s="380" t="n"/>
      <c r="L50" s="380" t="n"/>
      <c r="M50" s="380" t="n"/>
      <c r="N50" s="381" t="n"/>
      <c r="O50" s="382" t="n"/>
      <c r="P50" s="231" t="n"/>
      <c r="Q50" s="231" t="n"/>
      <c r="R50" s="231" t="n"/>
      <c r="S50" s="393" t="inlineStr">
        <is>
          <t>印</t>
        </is>
      </c>
      <c r="T50" s="391" t="n"/>
      <c r="U50" s="231" t="n"/>
      <c r="V50" s="388" t="inlineStr">
        <is>
          <t>先　方</t>
        </is>
      </c>
      <c r="W50" s="389" t="n"/>
      <c r="X50" s="381" t="n"/>
    </row>
    <row r="51" ht="16.5" customHeight="1" s="227" thickBot="1">
      <c r="A51" s="231" t="n"/>
      <c r="B51" s="379" t="n"/>
      <c r="C51" s="380" t="n"/>
      <c r="D51" s="380" t="n"/>
      <c r="E51" s="380" t="n"/>
      <c r="F51" s="380" t="n"/>
      <c r="G51" s="380" t="n"/>
      <c r="H51" s="380" t="n"/>
      <c r="I51" s="380" t="n"/>
      <c r="J51" s="380" t="n"/>
      <c r="K51" s="380" t="n"/>
      <c r="L51" s="380" t="n"/>
      <c r="M51" s="380" t="n"/>
      <c r="N51" s="381" t="n"/>
      <c r="O51" s="382" t="n"/>
      <c r="P51" s="231" t="n"/>
      <c r="Q51" s="231" t="n"/>
      <c r="R51" s="231" t="n"/>
      <c r="S51" s="394" t="n"/>
      <c r="T51" s="395" t="n"/>
      <c r="U51" s="231" t="n"/>
      <c r="V51" s="383" t="n"/>
      <c r="W51" s="384" t="n"/>
      <c r="X51" s="392" t="n"/>
    </row>
    <row r="52" ht="16.5" customHeight="1" s="227">
      <c r="A52" s="231" t="n"/>
      <c r="B52" s="379" t="n"/>
      <c r="C52" s="380" t="n"/>
      <c r="D52" s="380" t="n"/>
      <c r="E52" s="380" t="n"/>
      <c r="F52" s="380" t="n"/>
      <c r="G52" s="380" t="n"/>
      <c r="H52" s="380" t="n"/>
      <c r="I52" s="380" t="n"/>
      <c r="J52" s="380" t="n"/>
      <c r="K52" s="380" t="n"/>
      <c r="L52" s="380" t="n"/>
      <c r="M52" s="380" t="n"/>
      <c r="N52" s="381" t="n"/>
      <c r="O52" s="382" t="n"/>
      <c r="P52" s="231" t="n"/>
      <c r="Q52" s="231" t="n"/>
      <c r="R52" s="231" t="n"/>
      <c r="S52" s="386" t="inlineStr">
        <is>
          <t>担当</t>
        </is>
      </c>
      <c r="T52" s="387" t="n"/>
      <c r="U52" s="231" t="n"/>
      <c r="V52" s="388" t="inlineStr">
        <is>
          <t>当　方</t>
        </is>
      </c>
      <c r="W52" s="389" t="n"/>
      <c r="X52" s="381" t="n"/>
    </row>
    <row r="53" ht="16.5" customHeight="1" s="227">
      <c r="A53" s="231" t="n"/>
      <c r="B53" s="379" t="n"/>
      <c r="C53" s="380" t="n"/>
      <c r="D53" s="380" t="n"/>
      <c r="E53" s="380" t="n"/>
      <c r="F53" s="380" t="n"/>
      <c r="G53" s="380" t="n"/>
      <c r="H53" s="380" t="n"/>
      <c r="I53" s="380" t="n"/>
      <c r="J53" s="380" t="n"/>
      <c r="K53" s="380" t="n"/>
      <c r="L53" s="380" t="n"/>
      <c r="M53" s="380" t="n"/>
      <c r="N53" s="381" t="n"/>
      <c r="O53" s="382" t="n"/>
      <c r="P53" s="231" t="n"/>
      <c r="Q53" s="231" t="n"/>
      <c r="R53" s="231" t="n"/>
      <c r="S53" s="390" t="n"/>
      <c r="T53" s="391" t="n"/>
      <c r="U53" s="231" t="n"/>
      <c r="V53" s="383" t="n"/>
      <c r="W53" s="384" t="n"/>
      <c r="X53" s="392" t="n"/>
    </row>
    <row r="54" ht="16.5" customHeight="1" s="227">
      <c r="A54" s="231" t="n"/>
      <c r="B54" s="379" t="n"/>
      <c r="C54" s="380" t="n"/>
      <c r="D54" s="380" t="n"/>
      <c r="E54" s="380" t="n"/>
      <c r="F54" s="380" t="n"/>
      <c r="G54" s="380" t="n"/>
      <c r="H54" s="380" t="n"/>
      <c r="I54" s="380" t="n"/>
      <c r="J54" s="380" t="n"/>
      <c r="K54" s="380" t="n"/>
      <c r="L54" s="380" t="n"/>
      <c r="M54" s="380" t="n"/>
      <c r="N54" s="381" t="n"/>
      <c r="O54" s="382" t="n"/>
      <c r="P54" s="231" t="n"/>
      <c r="Q54" s="231" t="n"/>
      <c r="R54" s="231" t="n"/>
      <c r="S54" s="393" t="inlineStr">
        <is>
          <t>印</t>
        </is>
      </c>
      <c r="T54" s="391" t="n"/>
      <c r="U54" s="231" t="n"/>
      <c r="V54" s="396" t="inlineStr">
        <is>
          <t>備　考</t>
        </is>
      </c>
      <c r="W54" s="389" t="n"/>
      <c r="X54" s="381" t="n"/>
    </row>
    <row r="55" ht="16.5" customHeight="1" s="227" thickBot="1">
      <c r="A55" s="231" t="n"/>
      <c r="B55" s="397" t="n"/>
      <c r="C55" s="398" t="n"/>
      <c r="D55" s="398" t="n"/>
      <c r="E55" s="398" t="n"/>
      <c r="F55" s="398" t="n"/>
      <c r="G55" s="398" t="n"/>
      <c r="H55" s="398" t="n"/>
      <c r="I55" s="398" t="n"/>
      <c r="J55" s="398" t="n"/>
      <c r="K55" s="398" t="n"/>
      <c r="L55" s="398" t="n"/>
      <c r="M55" s="398" t="n"/>
      <c r="N55" s="399" t="n"/>
      <c r="O55" s="382" t="n"/>
      <c r="P55" s="231" t="n"/>
      <c r="Q55" s="231" t="n"/>
      <c r="R55" s="231" t="n"/>
      <c r="S55" s="394" t="n"/>
      <c r="T55" s="395" t="n"/>
      <c r="U55" s="231" t="n"/>
      <c r="V55" s="235" t="n"/>
      <c r="W55" s="237" t="n"/>
      <c r="X55" s="399" t="n"/>
    </row>
  </sheetData>
  <mergeCells count="46">
    <mergeCell ref="C33:C34"/>
    <mergeCell ref="W12:W14"/>
    <mergeCell ref="C29:C30"/>
    <mergeCell ref="V54:W55"/>
    <mergeCell ref="G8:H8"/>
    <mergeCell ref="W9:W11"/>
    <mergeCell ref="B7:D8"/>
    <mergeCell ref="E8:F8"/>
    <mergeCell ref="W15:W20"/>
    <mergeCell ref="C35:C36"/>
    <mergeCell ref="S8:T8"/>
    <mergeCell ref="S7:T7"/>
    <mergeCell ref="V50:W51"/>
    <mergeCell ref="C25:C26"/>
    <mergeCell ref="C21:C22"/>
    <mergeCell ref="B15:B26"/>
    <mergeCell ref="W27:W33"/>
    <mergeCell ref="C31:C32"/>
    <mergeCell ref="C11:C12"/>
    <mergeCell ref="P7:P8"/>
    <mergeCell ref="V52:W53"/>
    <mergeCell ref="B46:N46"/>
    <mergeCell ref="V9:V14"/>
    <mergeCell ref="C23:C24"/>
    <mergeCell ref="V46:W47"/>
    <mergeCell ref="K8:L8"/>
    <mergeCell ref="W40:W44"/>
    <mergeCell ref="C17:C18"/>
    <mergeCell ref="C27:C28"/>
    <mergeCell ref="W34:W38"/>
    <mergeCell ref="W21:W26"/>
    <mergeCell ref="B27:B38"/>
    <mergeCell ref="V48:W49"/>
    <mergeCell ref="Q7:Q8"/>
    <mergeCell ref="C19:C20"/>
    <mergeCell ref="C13:C14"/>
    <mergeCell ref="B9:B14"/>
    <mergeCell ref="I7:J8"/>
    <mergeCell ref="M7:N8"/>
    <mergeCell ref="V15:V26"/>
    <mergeCell ref="B40:C44"/>
    <mergeCell ref="C15:C16"/>
    <mergeCell ref="V27:V38"/>
    <mergeCell ref="G4:L5"/>
    <mergeCell ref="V40:V44"/>
    <mergeCell ref="V7:X8"/>
  </mergeCells>
  <conditionalFormatting sqref="E11">
    <cfRule type="expression" priority="3" dxfId="0">
      <formula>E11="人員未入力"</formula>
    </cfRule>
  </conditionalFormatting>
  <conditionalFormatting sqref="G11">
    <cfRule type="expression" priority="2" dxfId="0">
      <formula>G11="人員未入力"</formula>
    </cfRule>
  </conditionalFormatting>
  <conditionalFormatting sqref="K11">
    <cfRule type="expression" priority="1" dxfId="0">
      <formula>K11="人員未入力"</formula>
    </cfRule>
  </conditionalFormatting>
  <dataValidations count="1">
    <dataValidation sqref="X1" showDropDown="0" showInputMessage="1" showErrorMessage="1" allowBlank="1" type="list">
      <formula1>$AD$1:$AD$2</formula1>
    </dataValidation>
  </dataValidations>
  <printOptions horizontalCentered="1" verticalCentered="1"/>
  <pageMargins left="0.3937007874015748" right="0.3937007874015748" top="0.3937007874015748" bottom="0.3937007874015748" header="0.1181102362204725" footer="0.1181102362204725"/>
  <pageSetup orientation="landscape" paperSize="9" scale="67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ＰＣＭＣ</dc:creator>
  <dcterms:created xsi:type="dcterms:W3CDTF">2018-03-22T01:20:26Z</dcterms:created>
  <dcterms:modified xsi:type="dcterms:W3CDTF">2026-06-01T06:19:42Z</dcterms:modified>
  <cp:lastModifiedBy>水野</cp:lastModifiedBy>
  <cp:lastPrinted>2024-07-18T01:01:35Z</cp:lastPrinted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SV_QUERY_LIST_4F35BF76-6C0D-4D9B-82B2-816C12CF3733" fmtid="{D5CDD505-2E9C-101B-9397-08002B2CF9AE}" pid="2">
    <vt:lpwstr>empty_477D106A-C0D6-4607-AEBD-E2C9D60EA279</vt:lpwstr>
  </property>
  <property name="SV_HIDDEN_GRID_QUERY_LIST_4F35BF76-6C0D-4D9B-82B2-816C12CF3733" fmtid="{D5CDD505-2E9C-101B-9397-08002B2CF9AE}" pid="3">
    <vt:lpwstr>empty_477D106A-C0D6-4607-AEBD-E2C9D60EA279</vt:lpwstr>
  </property>
  <property name="ContentTypeId" fmtid="{D5CDD505-2E9C-101B-9397-08002B2CF9AE}" pid="4">
    <vt:lpwstr>0x01010057D6E228C6BF9D40A1739ECC75BF117E</vt:lpwstr>
  </property>
</Properties>
</file>